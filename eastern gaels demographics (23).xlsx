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ior Adult Non Playing Member" sheetId="1" r:id="rId5"/>
    <sheet state="visible" name="Age Group Numbers Breakdown - 2" sheetId="2" r:id="rId6"/>
    <sheet state="visible" name="Players Names By Age Group - U1" sheetId="3" r:id="rId7"/>
    <sheet state="visible" name="Sheet21" sheetId="4" r:id="rId8"/>
    <sheet state="visible" name="Sheet22" sheetId="5" r:id="rId9"/>
    <sheet state="visible" name="Players Names by Age Group - U9" sheetId="6" r:id="rId10"/>
    <sheet state="visible" name="Players Name By Age Group - U8" sheetId="7" r:id="rId11"/>
    <sheet state="visible" name="Players Name By Age Group - U7" sheetId="8" r:id="rId12"/>
    <sheet state="visible" name="Players Name By Age Group - U6" sheetId="9" r:id="rId13"/>
    <sheet state="visible" name="Players Name by Age Group - U5" sheetId="10" r:id="rId14"/>
    <sheet state="visible" name="Games Played By Age Group - 202" sheetId="11" r:id="rId15"/>
    <sheet state="visible" name="Growth Year on Year" sheetId="12" r:id="rId16"/>
    <sheet state="visible" name="Parish Catchment Areas - 2026" sheetId="13" r:id="rId17"/>
    <sheet state="visible" name="Schools Catchment Areas -2026" sheetId="14" r:id="rId18"/>
    <sheet state="visible" name="Coaches By Age Group - 2026" sheetId="15" r:id="rId19"/>
    <sheet state="visible" name="Garda Vetting" sheetId="16" r:id="rId20"/>
    <sheet state="visible" name="Safeguarding " sheetId="17" r:id="rId21"/>
    <sheet state="visible" name="Coaching Qualifications" sheetId="18" r:id="rId22"/>
    <sheet state="visible" name="Upcoming Events" sheetId="19" r:id="rId23"/>
  </sheets>
  <definedNames/>
  <calcPr/>
</workbook>
</file>

<file path=xl/sharedStrings.xml><?xml version="1.0" encoding="utf-8"?>
<sst xmlns="http://schemas.openxmlformats.org/spreadsheetml/2006/main" count="816" uniqueCount="451">
  <si>
    <t>SENIOR ADULT NON PLAYING MEMBERS</t>
  </si>
  <si>
    <t>BRENDAN QUIGLEY</t>
  </si>
  <si>
    <t>DAVID BALL</t>
  </si>
  <si>
    <t>JUDE MCNABB</t>
  </si>
  <si>
    <t>TOM MCLOUGHLIN</t>
  </si>
  <si>
    <t>PEARSE GILROY</t>
  </si>
  <si>
    <t>MICK MOLLOY</t>
  </si>
  <si>
    <t>DARREN O SULLIVAN</t>
  </si>
  <si>
    <t>JOHNNY CAIRNS</t>
  </si>
  <si>
    <t>NICOLA MAHER</t>
  </si>
  <si>
    <t>KEVIN KEANE</t>
  </si>
  <si>
    <t xml:space="preserve">EILIS NI MHURCHADHA </t>
  </si>
  <si>
    <t>TRISH WILKINSON</t>
  </si>
  <si>
    <t>U12 PLAYER AREA</t>
  </si>
  <si>
    <t>PLAYER NAME</t>
  </si>
  <si>
    <t>U12 NUMBER</t>
  </si>
  <si>
    <t>U11 PLAYER AREA</t>
  </si>
  <si>
    <t>U11 NUMBER</t>
  </si>
  <si>
    <t>U10 PLAYER AREA</t>
  </si>
  <si>
    <t>U10 NUMBER</t>
  </si>
  <si>
    <t>U9 PLAYER AREA</t>
  </si>
  <si>
    <t>DATE OF BIRTH</t>
  </si>
  <si>
    <t>U9 NUMBER</t>
  </si>
  <si>
    <t>AGE</t>
  </si>
  <si>
    <t>U8 PLAYER AREA</t>
  </si>
  <si>
    <t xml:space="preserve">SCHOOL </t>
  </si>
  <si>
    <t>PARENT NAME</t>
  </si>
  <si>
    <t>U8 NUMBER</t>
  </si>
  <si>
    <t xml:space="preserve">PARENT MOBILE </t>
  </si>
  <si>
    <t>U7 PLAYER AREA</t>
  </si>
  <si>
    <t>ADDRESS</t>
  </si>
  <si>
    <t>U7 NUMBER</t>
  </si>
  <si>
    <t>PARENT EMAIL ADDRESS</t>
  </si>
  <si>
    <t>U6 PLAYER AREA</t>
  </si>
  <si>
    <t>U6 NUMBER</t>
  </si>
  <si>
    <t>U5 PLAYER AREA</t>
  </si>
  <si>
    <t>U5 NUMBER</t>
  </si>
  <si>
    <t xml:space="preserve">JACK BOYLE </t>
  </si>
  <si>
    <t xml:space="preserve">BETTYSTOWN </t>
  </si>
  <si>
    <t>22/2/2015</t>
  </si>
  <si>
    <t>SPN</t>
  </si>
  <si>
    <t>JANINE BOYLE</t>
  </si>
  <si>
    <t>085-1728842</t>
  </si>
  <si>
    <t>56 DUN EIMEAR, BETTYSTOWN</t>
  </si>
  <si>
    <t>UNDER 12 FOOTBALLERS - BORN 2014</t>
  </si>
  <si>
    <t>CLARE MCCLOSKEY</t>
  </si>
  <si>
    <t>28/2/2015</t>
  </si>
  <si>
    <t>DGS</t>
  </si>
  <si>
    <t>Jennifer McCloskey</t>
  </si>
  <si>
    <t>083-1091875</t>
  </si>
  <si>
    <t>High Road, Mornington</t>
  </si>
  <si>
    <t>LILY O'NEILL</t>
  </si>
  <si>
    <t>Ryan  Boyle</t>
  </si>
  <si>
    <t>083-0962141</t>
  </si>
  <si>
    <t xml:space="preserve">LAYTOWN </t>
  </si>
  <si>
    <t>23 Mornington Manor Avenue</t>
  </si>
  <si>
    <t>CAITLIN MURDOCH</t>
  </si>
  <si>
    <t>15/4/2015</t>
  </si>
  <si>
    <t>EABHA O'NEILL</t>
  </si>
  <si>
    <t>AUDREY MURDOCH</t>
  </si>
  <si>
    <t>086-0477588</t>
  </si>
  <si>
    <t>17 THE CRESCENT, INSE BAY, LAYTOWN</t>
  </si>
  <si>
    <t>16/5/2014</t>
  </si>
  <si>
    <t>KEITH MAGEE</t>
  </si>
  <si>
    <t>28/5/2015</t>
  </si>
  <si>
    <t>DAWN DALY</t>
  </si>
  <si>
    <t>MORNINGTON</t>
  </si>
  <si>
    <t>ROSEMARY MAGEE</t>
  </si>
  <si>
    <t>087-7793454</t>
  </si>
  <si>
    <t>085-2831001</t>
  </si>
  <si>
    <t>1 ARDMORE GREEN, BETTYSTOWN</t>
  </si>
  <si>
    <t>7  Mornington Tower, Mornington</t>
  </si>
  <si>
    <t>ROSIE CANAVAN</t>
  </si>
  <si>
    <t>Karen Canavan</t>
  </si>
  <si>
    <t>086-6091280</t>
  </si>
  <si>
    <t xml:space="preserve">22a Colp Crescent, Deepforde </t>
  </si>
  <si>
    <t>SURINE HARRIS</t>
  </si>
  <si>
    <t>IANIS ARDELEAN</t>
  </si>
  <si>
    <t>23/7/2014</t>
  </si>
  <si>
    <t>25/9/2015</t>
  </si>
  <si>
    <t>CIPRIAN  ARDELEAN</t>
  </si>
  <si>
    <t>JAMES HARRIS</t>
  </si>
  <si>
    <t>087-7509959</t>
  </si>
  <si>
    <t>083-1951288</t>
  </si>
  <si>
    <t>DONACARNEY</t>
  </si>
  <si>
    <t>16 St. Benans Villas Laytown</t>
  </si>
  <si>
    <t>32 PARKWOOD, GRANGE RATH, DUBLIN ROAD</t>
  </si>
  <si>
    <t>TOMEK KOWALSKI</t>
  </si>
  <si>
    <t>LEO BUTTLE</t>
  </si>
  <si>
    <t>30/10/2015</t>
  </si>
  <si>
    <t xml:space="preserve">DUBLIN ROAD </t>
  </si>
  <si>
    <t>IZABELA PIETREWICZ</t>
  </si>
  <si>
    <t>085-7730558</t>
  </si>
  <si>
    <t>11 THE DRIVE, INSE BAY, LAYTOWN, A92H3C4</t>
  </si>
  <si>
    <t>ST MARYS</t>
  </si>
  <si>
    <t>MICHELLE EGAN</t>
  </si>
  <si>
    <t xml:space="preserve">LIAM WILKINSON </t>
  </si>
  <si>
    <t>ROSE KEATING</t>
  </si>
  <si>
    <t>086-8818589</t>
  </si>
  <si>
    <t>JOSH LEKHUTILE</t>
  </si>
  <si>
    <t>TRISHA WILKINSON</t>
  </si>
  <si>
    <t>087-9941507</t>
  </si>
  <si>
    <t>DBS</t>
  </si>
  <si>
    <t>HELEN KEATING</t>
  </si>
  <si>
    <t>LESEGO ( LIZZIE) KGOSIEMANG</t>
  </si>
  <si>
    <t>4 EASTHAM COVE, BETTYSTOWN</t>
  </si>
  <si>
    <t>086-1757663</t>
  </si>
  <si>
    <t>086-2147394</t>
  </si>
  <si>
    <t>15 THE DALE, WHITEFIELD HALL, BETTYSTOWN</t>
  </si>
  <si>
    <t>OLIVIA LAZAR</t>
  </si>
  <si>
    <t>ARPAD LAZAR</t>
  </si>
  <si>
    <t>087-3516837</t>
  </si>
  <si>
    <t>19 Glen Boann, Donacarney</t>
  </si>
  <si>
    <t>14 THE HAVEN, MORNINGTON , A92 K0W8</t>
  </si>
  <si>
    <t>DANNY MCEVOY</t>
  </si>
  <si>
    <t>26/10/2014</t>
  </si>
  <si>
    <t>MATAS MARTIN</t>
  </si>
  <si>
    <t>28/1/2016</t>
  </si>
  <si>
    <t>KEITH MARTIN</t>
  </si>
  <si>
    <t xml:space="preserve">087 9073155 </t>
  </si>
  <si>
    <t>CAROLYN MCEVOY</t>
  </si>
  <si>
    <t>4 MORNINGTON MANOR PARK, MORNINGTON MANOR</t>
  </si>
  <si>
    <t>086-2593371</t>
  </si>
  <si>
    <t>84 BROOKSIDE, BETTYSTOWN</t>
  </si>
  <si>
    <t>ERIN MAHER</t>
  </si>
  <si>
    <t>EMILIA CLARKE</t>
  </si>
  <si>
    <t>PATRICIA CLARKE</t>
  </si>
  <si>
    <t>086-1954054</t>
  </si>
  <si>
    <t>087-9147858</t>
  </si>
  <si>
    <t>18 Mornington Towers, Mornington</t>
  </si>
  <si>
    <t xml:space="preserve">5 THE HAVEN, MORNINGTON PARK, DONACARNEY </t>
  </si>
  <si>
    <t>LOGAN NKOMO</t>
  </si>
  <si>
    <t>TOM HART</t>
  </si>
  <si>
    <t>27/12/2014</t>
  </si>
  <si>
    <t>20/4/2016</t>
  </si>
  <si>
    <t>PAMELA NKOMO</t>
  </si>
  <si>
    <t>MORGAN WARD</t>
  </si>
  <si>
    <t>083-4219086</t>
  </si>
  <si>
    <t>086-0418122</t>
  </si>
  <si>
    <t>11 DONACARNEY VILLAGE, DONACARNEY</t>
  </si>
  <si>
    <t>UNKNOWN ADDRESS</t>
  </si>
  <si>
    <t xml:space="preserve">8 THE VIEW ROSEVALE, BETTYSTOWN </t>
  </si>
  <si>
    <t>ANABELLA</t>
  </si>
  <si>
    <t>KATE GORMLEY</t>
  </si>
  <si>
    <t>29/4/2016</t>
  </si>
  <si>
    <t>Rachel and Aiden Gormley</t>
  </si>
  <si>
    <t>0879528159/0863545359</t>
  </si>
  <si>
    <t>25 Mornington Manor Park, Mornington</t>
  </si>
  <si>
    <t>LACHLIN MCDONNELL-ROSS</t>
  </si>
  <si>
    <t>25/7/2016</t>
  </si>
  <si>
    <t>CARLA MCDONNELL-ROSS</t>
  </si>
  <si>
    <t>ELENA CIGOLEA</t>
  </si>
  <si>
    <t>089-4952046</t>
  </si>
  <si>
    <t>12 THE DALE, WHITEFIELD HALL, BETTYSTOWN</t>
  </si>
  <si>
    <t>TOTAL KIDS</t>
  </si>
  <si>
    <t>VICTORIA CIGOLEA</t>
  </si>
  <si>
    <t>TAPIWANASHE  SAJANGA</t>
  </si>
  <si>
    <t>0874318737/0876121976</t>
  </si>
  <si>
    <t>26/11/2016</t>
  </si>
  <si>
    <t>16 Dun Eimear Avenue, Bettystown</t>
  </si>
  <si>
    <t>COLLINS SAJANGA</t>
  </si>
  <si>
    <t>IVAN OKISHEV</t>
  </si>
  <si>
    <t>089-4955439</t>
  </si>
  <si>
    <t>24/4/2014</t>
  </si>
  <si>
    <t>26 PARK LANE, GRANGE RATH, DUBLIN ROAD</t>
  </si>
  <si>
    <t>OLENA OKISHEVA</t>
  </si>
  <si>
    <t>DAVID WILKINSON</t>
  </si>
  <si>
    <t>085-2015240</t>
  </si>
  <si>
    <t>19/12/2016</t>
  </si>
  <si>
    <t>3 SLI ULTAIN, COAST ROAD, LAYTOWN, A92D7X9</t>
  </si>
  <si>
    <t>MIA O'BRIEN</t>
  </si>
  <si>
    <t xml:space="preserve">Jennifer O’Brien </t>
  </si>
  <si>
    <t>086-2357304</t>
  </si>
  <si>
    <t>7 Cois Na Mara, Bettystown</t>
  </si>
  <si>
    <t>ROISIN HOLMES</t>
  </si>
  <si>
    <t>KEELIN HOMLES</t>
  </si>
  <si>
    <t>086-1545084</t>
  </si>
  <si>
    <t>U12 PLAYER SCHOOL</t>
  </si>
  <si>
    <t>U11 PLAYER SCHOOL</t>
  </si>
  <si>
    <t>U10 PLAYER SCHOOL</t>
  </si>
  <si>
    <t>U9 PLAYER SCHOOL</t>
  </si>
  <si>
    <t>U8 PLAYER SCHOOL</t>
  </si>
  <si>
    <t>U7 PLAYER SCHOOL</t>
  </si>
  <si>
    <t>U6 PLAYER SCHOOL</t>
  </si>
  <si>
    <t>U5 PLAYER SCHOOL</t>
  </si>
  <si>
    <t>SON</t>
  </si>
  <si>
    <t>LE CHEILE</t>
  </si>
  <si>
    <t>RNM BOYS</t>
  </si>
  <si>
    <t>RNM GIRLS</t>
  </si>
  <si>
    <t xml:space="preserve">UNKNOWN  </t>
  </si>
  <si>
    <t>ST MARYS PPS</t>
  </si>
  <si>
    <t xml:space="preserve">UNKNOWN </t>
  </si>
  <si>
    <t>ST JOHNS DROGHEDA</t>
  </si>
  <si>
    <t>GAELSCOIL</t>
  </si>
  <si>
    <t>RILEY CARROLL</t>
  </si>
  <si>
    <t>25/1/2018</t>
  </si>
  <si>
    <t>LOGAN KELLY</t>
  </si>
  <si>
    <t>DAVE CARROLL</t>
  </si>
  <si>
    <t>086-8767245</t>
  </si>
  <si>
    <t>75 SEABURY LAWNS, MORNINGTON</t>
  </si>
  <si>
    <t xml:space="preserve">HUNTER MCCARTHY </t>
  </si>
  <si>
    <t xml:space="preserve">KATIE MCCARTHY </t>
  </si>
  <si>
    <t>085-2151376</t>
  </si>
  <si>
    <t xml:space="preserve">51 DUN EIMEAR, BETTYSTOWN </t>
  </si>
  <si>
    <t>HORDII BARANOVSKYI</t>
  </si>
  <si>
    <t>23/6/2018</t>
  </si>
  <si>
    <t>OLEKSANDRA BARANOVSKYI</t>
  </si>
  <si>
    <t>087-7984704</t>
  </si>
  <si>
    <t>20 SAINT ANTHONYS VILLAS, LAYTOWN</t>
  </si>
  <si>
    <t>ELLA-MAY MCGUINNESS</t>
  </si>
  <si>
    <t>BONNIE NEESON</t>
  </si>
  <si>
    <t>085-7700936</t>
  </si>
  <si>
    <t>EMMA MCGUINNESS</t>
  </si>
  <si>
    <t>120 GLEN BOANN, DONACARNEY</t>
  </si>
  <si>
    <t>085-1124296</t>
  </si>
  <si>
    <t>60 BEACH PARK, LAYTOWN</t>
  </si>
  <si>
    <t>MIKEY CLARKE</t>
  </si>
  <si>
    <t>FREYA SCURRY</t>
  </si>
  <si>
    <t>24/2/2017</t>
  </si>
  <si>
    <t>24/7/2018</t>
  </si>
  <si>
    <t>TRISH CLARKE</t>
  </si>
  <si>
    <t>Celine Coughlan</t>
  </si>
  <si>
    <t>085-7442695</t>
  </si>
  <si>
    <t>18 MORNINGTON TOWER, MORNINGTON</t>
  </si>
  <si>
    <t>33 Mornington Manor Avenue, Mornington</t>
  </si>
  <si>
    <t>INDRA ENEBISH</t>
  </si>
  <si>
    <t>26/7/2018</t>
  </si>
  <si>
    <t xml:space="preserve">CALLUM MURDOCH </t>
  </si>
  <si>
    <t>BAYARNYAM ENEBISH</t>
  </si>
  <si>
    <t>27/2/2017</t>
  </si>
  <si>
    <t>087-7428739</t>
  </si>
  <si>
    <t>10 FIVE OAKS VILLAGE, DUBLIN ROAD, DROGHEDA</t>
  </si>
  <si>
    <t>KYLE LYNCH</t>
  </si>
  <si>
    <t>29/7/2018</t>
  </si>
  <si>
    <t>ROWAN BRADY</t>
  </si>
  <si>
    <t xml:space="preserve">CHERYL LYNCH </t>
  </si>
  <si>
    <t>085-2755620</t>
  </si>
  <si>
    <t>41 CASTLEMARTIN AVENUE, BETTYSTOWN</t>
  </si>
  <si>
    <t>PAUL BRADY</t>
  </si>
  <si>
    <t>085-1514318</t>
  </si>
  <si>
    <t>GLEB POLOSIN</t>
  </si>
  <si>
    <t xml:space="preserve">19 CASTLEMARTIN AVENUE, BETTYSTOWN </t>
  </si>
  <si>
    <t>13/9/2018</t>
  </si>
  <si>
    <t>ELARA BRADY</t>
  </si>
  <si>
    <t>19 CASTLEMARTIN AVENUE, BETTYSTOWN</t>
  </si>
  <si>
    <t>NATALIA POLOSIN</t>
  </si>
  <si>
    <t>085-2162168</t>
  </si>
  <si>
    <t>ISABELLE SULLIVAN</t>
  </si>
  <si>
    <t>51 SEOID NA TRA , BETTYSTOWN</t>
  </si>
  <si>
    <t>NICHOLAS ARDELEAN</t>
  </si>
  <si>
    <t>16/8/2018</t>
  </si>
  <si>
    <t>CHRISTOPHER SULLIVAN</t>
  </si>
  <si>
    <t>086-3660060</t>
  </si>
  <si>
    <t>36 DUN EIMEAR GREEN, BETTYSTOWN</t>
  </si>
  <si>
    <t>HARPER MCHUGH</t>
  </si>
  <si>
    <t>21/7/2017</t>
  </si>
  <si>
    <t>ARLO BROWNING</t>
  </si>
  <si>
    <t>EMMA BARRY</t>
  </si>
  <si>
    <t>085-2356340</t>
  </si>
  <si>
    <t>18 GLEN BOANN, DONACARNEY</t>
  </si>
  <si>
    <t>17/8/2018</t>
  </si>
  <si>
    <t>ALEXSUS NICHOLSON-NEL</t>
  </si>
  <si>
    <t>KRZYSZTOF BOSIUK</t>
  </si>
  <si>
    <t>24/8/2017</t>
  </si>
  <si>
    <t>AARON BROWNING</t>
  </si>
  <si>
    <t>085-2219276</t>
  </si>
  <si>
    <t>PIETER NEL</t>
  </si>
  <si>
    <t xml:space="preserve">11 EASTHAM COURT, BETTYSTOWN </t>
  </si>
  <si>
    <t>083-4378908</t>
  </si>
  <si>
    <t>34 ELMELEY, GOLF LINKS ROAD, BETTYSTOWN</t>
  </si>
  <si>
    <t>LILLY O'GORMON</t>
  </si>
  <si>
    <t>ANETA BOSIUK</t>
  </si>
  <si>
    <t>23/8/2018</t>
  </si>
  <si>
    <t>087-7766528</t>
  </si>
  <si>
    <t>1 THE LANE, WHITEFIELD MANOR, BETTYSTOWN</t>
  </si>
  <si>
    <t>SEAN O GORMON</t>
  </si>
  <si>
    <t>087-2727916</t>
  </si>
  <si>
    <t>JOANNE NUGBASORO</t>
  </si>
  <si>
    <t>75 GLEN BOANN, DONACARNEY</t>
  </si>
  <si>
    <t>LLEYTON SHERIDAN</t>
  </si>
  <si>
    <t>JOHN-PATRICK FARRELL-WALSHE</t>
  </si>
  <si>
    <t>27/9/2018</t>
  </si>
  <si>
    <t>SARAH NOLAN</t>
  </si>
  <si>
    <t>LEAH WALSHE</t>
  </si>
  <si>
    <t>087-7694632</t>
  </si>
  <si>
    <t>087-6187393</t>
  </si>
  <si>
    <t>GODWIN NUGBASORO</t>
  </si>
  <si>
    <t>65 CASTLEMARTIN CLOSE, BETTYSTOWN</t>
  </si>
  <si>
    <t>50 THE GROVE, INSE BAY, LAYTOWN</t>
  </si>
  <si>
    <t>089-2412800</t>
  </si>
  <si>
    <t>7 SHEPARD LODGE, NARROWAYS, BETTYSTOWN</t>
  </si>
  <si>
    <t>LUCY WATSON</t>
  </si>
  <si>
    <t>18/11/2018</t>
  </si>
  <si>
    <t>DECSON ZHU</t>
  </si>
  <si>
    <t>Hazel Watson</t>
  </si>
  <si>
    <t>087-6434317</t>
  </si>
  <si>
    <t>16 Mornington Manor Crescent</t>
  </si>
  <si>
    <t>MO ZHU/YAN ZHU</t>
  </si>
  <si>
    <t>KEAGAN ROONEY</t>
  </si>
  <si>
    <t>087-7576169/089-4345838</t>
  </si>
  <si>
    <t>DANIELLE WHELAN</t>
  </si>
  <si>
    <t>11 THE WALK, INSE BAY, LAYTOWN</t>
  </si>
  <si>
    <t>21/11/2018</t>
  </si>
  <si>
    <t xml:space="preserve">Michael Whelan </t>
  </si>
  <si>
    <t>0863-863430</t>
  </si>
  <si>
    <t>2 The Park, Inse Bay, Laytown</t>
  </si>
  <si>
    <t>ZAK BALFE</t>
  </si>
  <si>
    <t>OLIVIA BALFE</t>
  </si>
  <si>
    <t>TARA FARRELL</t>
  </si>
  <si>
    <t>085-1447314</t>
  </si>
  <si>
    <t>086-8872880</t>
  </si>
  <si>
    <t>72 NEWTOWN VIEW, MARSH ROAD, DROGHEDA</t>
  </si>
  <si>
    <t>AGE GROUP</t>
  </si>
  <si>
    <t xml:space="preserve">NUMBER OF GAMES </t>
  </si>
  <si>
    <t>TAWANANYASHA HANDINA</t>
  </si>
  <si>
    <t>BOYS U12</t>
  </si>
  <si>
    <t xml:space="preserve">BOYS U10  </t>
  </si>
  <si>
    <t>MARCELO BORGES-GOUVELA</t>
  </si>
  <si>
    <t>BOYS U8</t>
  </si>
  <si>
    <t>TAFADZWA HANDINA</t>
  </si>
  <si>
    <t xml:space="preserve">U12 GIRLS </t>
  </si>
  <si>
    <t>21/1/2021</t>
  </si>
  <si>
    <t xml:space="preserve">U9 GIRLS </t>
  </si>
  <si>
    <t>YEAR</t>
  </si>
  <si>
    <t>083-4255623</t>
  </si>
  <si>
    <t>73 THE ANCHORAGE APARTMENT, BETTYSTOWN</t>
  </si>
  <si>
    <t>TOTAL GAMES</t>
  </si>
  <si>
    <t>RIANNE BORGES-GOUVELA</t>
  </si>
  <si>
    <t>COLM MCGUINESS</t>
  </si>
  <si>
    <t>083-3133011</t>
  </si>
  <si>
    <t xml:space="preserve">085-124 296 </t>
  </si>
  <si>
    <t>30 ELMERLEY, GOLF LINKS ROAD , BETTYSTOWN</t>
  </si>
  <si>
    <t xml:space="preserve"> </t>
  </si>
  <si>
    <t>SEAN BOSIUK</t>
  </si>
  <si>
    <t>KIA ROONEY</t>
  </si>
  <si>
    <t xml:space="preserve">60 BEECH PARK, LAYTOWN </t>
  </si>
  <si>
    <t>19/6/2021</t>
  </si>
  <si>
    <t>ST PAULS DROGHEDA</t>
  </si>
  <si>
    <t>ALEX DUFFY</t>
  </si>
  <si>
    <t>72 NEWTOWN VIEW, MARSH ROAD, MORNOINGTON</t>
  </si>
  <si>
    <t>CLAUDIA STEFAN</t>
  </si>
  <si>
    <t>086-0693808</t>
  </si>
  <si>
    <t>22 THE GLADE, WHITEFIELD HALL, BETTYSTOWN</t>
  </si>
  <si>
    <t>GRACE DUNNE</t>
  </si>
  <si>
    <t>CIARAN DUNNE</t>
  </si>
  <si>
    <t>086-9455268</t>
  </si>
  <si>
    <t>26 CASTLEMARTIN CLOSE, BETTYSTOWN</t>
  </si>
  <si>
    <t>MYLO BROWNING</t>
  </si>
  <si>
    <t>TJ HENRY</t>
  </si>
  <si>
    <t>RACHEL SAVAGE</t>
  </si>
  <si>
    <t>087-7932502</t>
  </si>
  <si>
    <t>14 MORNINGTON MANOR PARK, MORNINGTON</t>
  </si>
  <si>
    <t>KAI DORAN CHAPMAN</t>
  </si>
  <si>
    <t>15/7/2020</t>
  </si>
  <si>
    <t>CRAIG CHAPMAN</t>
  </si>
  <si>
    <t>083-0143745</t>
  </si>
  <si>
    <t>3 NARROWAYS PARK, BETTYSTOWN</t>
  </si>
  <si>
    <t>MARCIN MACHAJ</t>
  </si>
  <si>
    <t>15/8/2020</t>
  </si>
  <si>
    <t>PIOTR MACHAJ</t>
  </si>
  <si>
    <t>085-8440370</t>
  </si>
  <si>
    <t>2 DUN EIMEAR, BETTYSTOWN, A92A7KT</t>
  </si>
  <si>
    <t>ZACH BARNES</t>
  </si>
  <si>
    <t>16/8/2020</t>
  </si>
  <si>
    <t>JESSICA BARNES</t>
  </si>
  <si>
    <t>086-8618253</t>
  </si>
  <si>
    <t>16 COLPE CRESCENT, DEEPFORDE, DUBLIN ROAD</t>
  </si>
  <si>
    <t>RIAN DULLAGHAN</t>
  </si>
  <si>
    <t>DONNA DULLAGHAN</t>
  </si>
  <si>
    <t>087-7631504</t>
  </si>
  <si>
    <t>20 THE MEADOWS, WHITEFIELD MANOR, BETTYSTOWN</t>
  </si>
  <si>
    <t>JAMIE WARD</t>
  </si>
  <si>
    <t>23/10/2020</t>
  </si>
  <si>
    <t>ADRIENNE WARD</t>
  </si>
  <si>
    <t>087-2468844</t>
  </si>
  <si>
    <t>30 MAYDENHAYES SQUARE, DONACARNEY</t>
  </si>
  <si>
    <t>CATCHMENT AREA</t>
  </si>
  <si>
    <t>SCHOOL</t>
  </si>
  <si>
    <t>NUMBER</t>
  </si>
  <si>
    <t xml:space="preserve">AGE GROUP </t>
  </si>
  <si>
    <t xml:space="preserve">TOTAL COACHES PER AGE GROUP </t>
  </si>
  <si>
    <t>COACH 1</t>
  </si>
  <si>
    <t>COACH 2</t>
  </si>
  <si>
    <t>COACH 3</t>
  </si>
  <si>
    <t>COACH 4</t>
  </si>
  <si>
    <t>U12 BOYS</t>
  </si>
  <si>
    <t>Coach Name</t>
  </si>
  <si>
    <t>U12 GIRLS</t>
  </si>
  <si>
    <t>Status - Yes/No</t>
  </si>
  <si>
    <t>CAOIMHE HORAN</t>
  </si>
  <si>
    <t>Expiry Date</t>
  </si>
  <si>
    <t>KATE O SULLIVAN</t>
  </si>
  <si>
    <t>KATE KELLY</t>
  </si>
  <si>
    <t>KELLY ANN BUCHANAN</t>
  </si>
  <si>
    <t xml:space="preserve">U10 BOYS </t>
  </si>
  <si>
    <t>Jude McNabb</t>
  </si>
  <si>
    <t>Compliant</t>
  </si>
  <si>
    <t>Expires Sept 2029</t>
  </si>
  <si>
    <t xml:space="preserve">Tom McLoughlin </t>
  </si>
  <si>
    <t>Expires Mar 2029</t>
  </si>
  <si>
    <t>U9 GIRLS</t>
  </si>
  <si>
    <t>Brendan Quigley</t>
  </si>
  <si>
    <t>Expired</t>
  </si>
  <si>
    <t>Mick Molloy</t>
  </si>
  <si>
    <t xml:space="preserve">U8 BOYS </t>
  </si>
  <si>
    <t xml:space="preserve">Kate Sullivan </t>
  </si>
  <si>
    <t>Kate Kelly</t>
  </si>
  <si>
    <t xml:space="preserve">NURSERY </t>
  </si>
  <si>
    <t xml:space="preserve"> David Ball</t>
  </si>
  <si>
    <t>Alan Callinan</t>
  </si>
  <si>
    <t>Eoin Kinnear</t>
  </si>
  <si>
    <t>Kelly Ann Buchanan</t>
  </si>
  <si>
    <t>Caoimhe Horan</t>
  </si>
  <si>
    <t>Nicola Maher</t>
  </si>
  <si>
    <t>Pearse Gilroy</t>
  </si>
  <si>
    <t>Kevin Keane</t>
  </si>
  <si>
    <t xml:space="preserve">Coach Name </t>
  </si>
  <si>
    <t>Expires</t>
  </si>
  <si>
    <t>Tom McLoughlin</t>
  </si>
  <si>
    <t>Coaching Course Completed</t>
  </si>
  <si>
    <t>David Ball</t>
  </si>
  <si>
    <t xml:space="preserve">Coaching Qualifications </t>
  </si>
  <si>
    <t xml:space="preserve">Pearse Gilroy </t>
  </si>
  <si>
    <t xml:space="preserve">Number </t>
  </si>
  <si>
    <t>Darren O'Sullivan</t>
  </si>
  <si>
    <t>Award 1</t>
  </si>
  <si>
    <t>Foundation Level</t>
  </si>
  <si>
    <t xml:space="preserve">Award 1 </t>
  </si>
  <si>
    <t>Award 2</t>
  </si>
  <si>
    <t xml:space="preserve">Caoimhe Horan </t>
  </si>
  <si>
    <t>Award 3</t>
  </si>
  <si>
    <t xml:space="preserve">Nicola Maher </t>
  </si>
  <si>
    <t xml:space="preserve">Emma O 'Sullivan </t>
  </si>
  <si>
    <t>Kate O'Sullivan</t>
  </si>
  <si>
    <t>Pending</t>
  </si>
  <si>
    <t>Tomas Quinn</t>
  </si>
  <si>
    <t xml:space="preserve">Event Type </t>
  </si>
  <si>
    <t>Venue</t>
  </si>
  <si>
    <t xml:space="preserve">Date </t>
  </si>
  <si>
    <t xml:space="preserve">Time </t>
  </si>
  <si>
    <t xml:space="preserve">U10 Boys V St Pats </t>
  </si>
  <si>
    <t>St Pats, Stamullen</t>
  </si>
  <si>
    <t xml:space="preserve">U12 Boys Friendly V St Pats </t>
  </si>
  <si>
    <t xml:space="preserve">St Pats </t>
  </si>
  <si>
    <t xml:space="preserve">U12 Girls V St Pats </t>
  </si>
  <si>
    <t xml:space="preserve">U9 Girls V Ratoath </t>
  </si>
  <si>
    <t>Ratoath</t>
  </si>
  <si>
    <t>Social Fundraiser- Table Quiz</t>
  </si>
  <si>
    <t>Village Hotel</t>
  </si>
  <si>
    <t>U8 Boys Friendly V Naomh Martin</t>
  </si>
  <si>
    <t>Naomh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</si>
</sst>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dddd&quot;, &quot;mmmm&quot; &quot;d&quot;, &quot;yyyy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/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readingOrder="0" vertical="bottom"/>
    </xf>
    <xf borderId="1" fillId="4" fontId="1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" fillId="4" fontId="1" numFmtId="0" xfId="0" applyAlignment="1" applyBorder="1" applyFill="1" applyFont="1">
      <alignment vertical="bottom"/>
    </xf>
    <xf borderId="3" fillId="5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5" fillId="0" fontId="5" numFmtId="0" xfId="0" applyBorder="1" applyFont="1"/>
    <xf borderId="1" fillId="4" fontId="1" numFmtId="164" xfId="0" applyAlignment="1" applyBorder="1" applyFill="1" applyFont="1" applyNumberFormat="1">
      <alignment horizontal="center" vertical="bottom"/>
    </xf>
    <xf borderId="6" fillId="0" fontId="5" numFmtId="0" xfId="0" applyBorder="1" applyFont="1"/>
    <xf borderId="3" fillId="5" fontId="1" numFmtId="0" xfId="0" applyAlignment="1" applyBorder="1" applyFill="1" applyFont="1">
      <alignment horizontal="center" readingOrder="0" vertical="bottom"/>
    </xf>
    <xf quotePrefix="1" borderId="1" fillId="4" fontId="1" numFmtId="0" xfId="0" applyAlignment="1" applyBorder="1" applyFill="1" applyFont="1">
      <alignment horizontal="center" vertical="bottom"/>
    </xf>
    <xf borderId="1" fillId="4" fontId="6" numFmtId="164" xfId="0" applyAlignment="1" applyBorder="1" applyFill="1" applyFont="1" applyNumberFormat="1">
      <alignment horizontal="center" vertical="bottom"/>
    </xf>
    <xf borderId="1" fillId="4" fontId="1" numFmtId="0" xfId="0" applyAlignment="1" applyBorder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vertical="bottom"/>
    </xf>
    <xf borderId="1" fillId="4" fontId="1" numFmtId="164" xfId="0" applyAlignment="1" applyBorder="1" applyFill="1" applyFont="1" applyNumberFormat="1">
      <alignment vertical="bottom"/>
    </xf>
    <xf borderId="3" fillId="5" fontId="2" numFmtId="0" xfId="0" applyAlignment="1" applyBorder="1" applyFill="1" applyFont="1">
      <alignment horizontal="center" vertical="bottom"/>
    </xf>
    <xf borderId="7" fillId="5" fontId="2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8" fillId="5" fontId="3" numFmtId="0" xfId="0" applyAlignment="1" applyBorder="1" applyFill="1" applyFont="1">
      <alignment horizontal="center" readingOrder="0" vertical="bottom"/>
    </xf>
    <xf borderId="0" fillId="5" fontId="3" numFmtId="0" xfId="0" applyAlignment="1" applyFill="1" applyFont="1">
      <alignment horizontal="center" readingOrder="0" vertical="bottom"/>
    </xf>
    <xf borderId="2" fillId="5" fontId="1" numFmtId="0" xfId="0" applyAlignment="1" applyBorder="1" applyFill="1" applyFont="1">
      <alignment horizontal="center" vertical="bottom"/>
    </xf>
    <xf borderId="3" fillId="5" fontId="7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1" fillId="4" fontId="1" numFmtId="165" xfId="0" applyAlignment="1" applyBorder="1" applyFill="1" applyFont="1" applyNumberFormat="1">
      <alignment horizontal="center" vertical="bottom"/>
    </xf>
    <xf borderId="9" fillId="4" fontId="1" numFmtId="0" xfId="0" applyAlignment="1" applyBorder="1" applyFill="1" applyFont="1">
      <alignment horizontal="center" vertical="bottom"/>
    </xf>
    <xf borderId="10" fillId="4" fontId="1" numFmtId="0" xfId="0" applyAlignment="1" applyBorder="1" applyFill="1" applyFont="1">
      <alignment vertical="bottom"/>
    </xf>
    <xf borderId="10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horizontal="center" vertical="bottom"/>
    </xf>
    <xf borderId="3" fillId="4" fontId="1" numFmtId="165" xfId="0" applyAlignment="1" applyBorder="1" applyFill="1" applyFont="1" applyNumberFormat="1">
      <alignment horizontal="center" vertical="bottom"/>
    </xf>
    <xf borderId="1" fillId="4" fontId="1" numFmtId="165" xfId="0" applyAlignment="1" applyBorder="1" applyFill="1" applyFont="1" applyNumberFormat="1">
      <alignment vertical="bottom"/>
    </xf>
    <xf borderId="3" fillId="4" fontId="1" numFmtId="0" xfId="0" applyAlignment="1" applyBorder="1" applyFill="1" applyFont="1">
      <alignment horizontal="center" readingOrder="0" vertical="bottom"/>
    </xf>
    <xf borderId="3" fillId="4" fontId="1" numFmtId="0" xfId="0" applyAlignment="1" applyBorder="1" applyFill="1" applyFont="1">
      <alignment vertical="bottom"/>
    </xf>
    <xf borderId="11" fillId="4" fontId="2" numFmtId="0" xfId="0" applyAlignment="1" applyBorder="1" applyFill="1" applyFont="1">
      <alignment horizontal="center" vertical="bottom"/>
    </xf>
    <xf borderId="12" fillId="4" fontId="1" numFmtId="0" xfId="0" applyAlignment="1" applyBorder="1" applyFill="1" applyFont="1">
      <alignment vertical="bottom"/>
    </xf>
    <xf borderId="4" fillId="4" fontId="1" numFmtId="0" xfId="0" applyAlignment="1" applyBorder="1" applyFill="1" applyFont="1">
      <alignment horizontal="center" vertical="bottom"/>
    </xf>
    <xf borderId="12" fillId="4" fontId="1" numFmtId="0" xfId="0" applyAlignment="1" applyBorder="1" applyFill="1" applyFont="1">
      <alignment horizontal="center" vertical="bottom"/>
    </xf>
    <xf borderId="3" fillId="5" fontId="2" numFmtId="0" xfId="0" applyAlignment="1" applyBorder="1" applyFill="1" applyFont="1">
      <alignment horizontal="center" readingOrder="0" vertical="bottom"/>
    </xf>
    <xf borderId="12" fillId="6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 readingOrder="0" vertical="bottom"/>
    </xf>
    <xf borderId="12" fillId="6" fontId="1" numFmtId="0" xfId="0" applyAlignment="1" applyBorder="1" applyFill="1" applyFont="1">
      <alignment vertical="bottom"/>
    </xf>
    <xf borderId="13" fillId="4" fontId="1" numFmtId="0" xfId="0" applyAlignment="1" applyBorder="1" applyFill="1" applyFont="1">
      <alignment vertical="bottom"/>
    </xf>
    <xf borderId="12" fillId="4" fontId="2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4" fillId="6" fontId="1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horizontal="center" readingOrder="0" vertical="bottom"/>
    </xf>
    <xf borderId="3" fillId="2" fontId="8" numFmtId="0" xfId="0" applyAlignment="1" applyBorder="1" applyFill="1" applyFont="1">
      <alignment readingOrder="0"/>
    </xf>
    <xf borderId="3" fillId="2" fontId="4" numFmtId="0" xfId="0" applyAlignment="1" applyBorder="1" applyFill="1" applyFont="1">
      <alignment readingOrder="0"/>
    </xf>
    <xf borderId="3" fillId="2" fontId="9" numFmtId="0" xfId="0" applyAlignment="1" applyBorder="1" applyFill="1" applyFont="1">
      <alignment horizontal="center" readingOrder="0"/>
    </xf>
    <xf borderId="3" fillId="7" fontId="4" numFmtId="0" xfId="0" applyAlignment="1" applyBorder="1" applyFill="1" applyFont="1">
      <alignment horizontal="center" readingOrder="0"/>
    </xf>
    <xf borderId="3" fillId="7" fontId="4" numFmtId="166" xfId="0" applyAlignment="1" applyBorder="1" applyFill="1" applyFont="1" applyNumberFormat="1">
      <alignment horizontal="center" readingOrder="0"/>
    </xf>
    <xf borderId="3" fillId="7" fontId="4" numFmtId="2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71.63"/>
  </cols>
  <sheetData>
    <row r="1">
      <c r="A1" s="1"/>
      <c r="B1" s="2" t="s">
        <v>0</v>
      </c>
    </row>
    <row r="2">
      <c r="A2" s="3"/>
      <c r="B2" s="3"/>
    </row>
    <row r="3">
      <c r="A3" s="4">
        <v>1.0</v>
      </c>
      <c r="B3" s="5" t="s">
        <v>1</v>
      </c>
    </row>
    <row r="4">
      <c r="A4" s="4">
        <v>2.0</v>
      </c>
      <c r="B4" s="5" t="s">
        <v>2</v>
      </c>
    </row>
    <row r="5">
      <c r="A5" s="4">
        <v>3.0</v>
      </c>
      <c r="B5" s="6" t="s">
        <v>3</v>
      </c>
    </row>
    <row r="6">
      <c r="A6" s="4">
        <v>4.0</v>
      </c>
      <c r="B6" s="6" t="s">
        <v>4</v>
      </c>
    </row>
    <row r="7">
      <c r="A7" s="4">
        <v>5.0</v>
      </c>
      <c r="B7" s="5" t="s">
        <v>5</v>
      </c>
    </row>
    <row r="8">
      <c r="A8" s="4">
        <v>6.0</v>
      </c>
      <c r="B8" s="6" t="s">
        <v>6</v>
      </c>
    </row>
    <row r="9">
      <c r="A9" s="4">
        <v>7.0</v>
      </c>
      <c r="B9" s="5" t="s">
        <v>7</v>
      </c>
    </row>
    <row r="10">
      <c r="A10" s="4">
        <v>8.0</v>
      </c>
      <c r="B10" s="6" t="s">
        <v>8</v>
      </c>
    </row>
    <row r="11">
      <c r="A11" s="4">
        <v>9.0</v>
      </c>
      <c r="B11" s="5" t="s">
        <v>9</v>
      </c>
    </row>
    <row r="12">
      <c r="A12" s="4">
        <v>10.0</v>
      </c>
      <c r="B12" s="5" t="s">
        <v>10</v>
      </c>
    </row>
    <row r="13">
      <c r="A13" s="4">
        <v>11.0</v>
      </c>
      <c r="B13" s="6" t="s">
        <v>11</v>
      </c>
    </row>
    <row r="14">
      <c r="A14" s="7">
        <v>12.0</v>
      </c>
      <c r="B14" s="5" t="s">
        <v>12</v>
      </c>
    </row>
    <row r="15">
      <c r="A15" s="7">
        <v>13.0</v>
      </c>
      <c r="B15" s="5"/>
    </row>
    <row r="16">
      <c r="A16" s="7">
        <v>14.0</v>
      </c>
      <c r="B16" s="6"/>
    </row>
    <row r="17">
      <c r="A17" s="7">
        <v>15.0</v>
      </c>
      <c r="B17" s="6"/>
    </row>
    <row r="18">
      <c r="A18" s="7">
        <v>16.0</v>
      </c>
      <c r="B18" s="5"/>
    </row>
    <row r="19">
      <c r="A19" s="7">
        <v>17.0</v>
      </c>
      <c r="B19" s="6"/>
    </row>
    <row r="20">
      <c r="A20" s="7">
        <v>18.0</v>
      </c>
      <c r="B20" s="5"/>
    </row>
    <row r="21">
      <c r="A21" s="7">
        <v>19.0</v>
      </c>
      <c r="B21" s="6"/>
    </row>
    <row r="22">
      <c r="A22" s="7">
        <v>20.0</v>
      </c>
      <c r="B22" s="5"/>
    </row>
    <row r="23">
      <c r="A23" s="7">
        <v>21.0</v>
      </c>
      <c r="B23" s="5"/>
    </row>
    <row r="24">
      <c r="A24" s="7">
        <v>22.0</v>
      </c>
      <c r="B2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4" max="4" width="27.25"/>
    <col customWidth="1" min="5" max="5" width="17.5"/>
    <col customWidth="1" min="7" max="7" width="25.0"/>
    <col customWidth="1" min="8" max="8" width="20.5"/>
    <col customWidth="1" min="10" max="10" width="25.88"/>
    <col customWidth="1" min="11" max="11" width="18.63"/>
    <col customWidth="1" min="13" max="13" width="28.13"/>
    <col customWidth="1" min="14" max="14" width="20.38"/>
    <col customWidth="1" min="16" max="16" width="38.5"/>
    <col customWidth="1" min="17" max="17" width="20.0"/>
    <col customWidth="1" min="19" max="19" width="30.13"/>
    <col customWidth="1" min="20" max="20" width="23.75"/>
    <col customWidth="1" min="22" max="22" width="33.38"/>
    <col customWidth="1" min="23" max="23" width="18.88"/>
  </cols>
  <sheetData>
    <row r="1">
      <c r="A1" s="8" t="s">
        <v>13</v>
      </c>
      <c r="B1" s="8" t="s">
        <v>15</v>
      </c>
      <c r="D1" s="8" t="s">
        <v>16</v>
      </c>
      <c r="E1" s="8" t="s">
        <v>17</v>
      </c>
      <c r="G1" s="8" t="s">
        <v>18</v>
      </c>
      <c r="H1" s="8" t="s">
        <v>19</v>
      </c>
      <c r="I1" s="10"/>
      <c r="J1" s="8" t="s">
        <v>20</v>
      </c>
      <c r="K1" s="8" t="s">
        <v>22</v>
      </c>
      <c r="L1" s="10"/>
      <c r="M1" s="8" t="s">
        <v>24</v>
      </c>
      <c r="N1" s="8" t="s">
        <v>27</v>
      </c>
      <c r="O1" s="10"/>
      <c r="P1" s="8" t="s">
        <v>29</v>
      </c>
      <c r="Q1" s="8" t="s">
        <v>31</v>
      </c>
      <c r="R1" s="10"/>
      <c r="S1" s="8" t="s">
        <v>33</v>
      </c>
      <c r="T1" s="8" t="s">
        <v>34</v>
      </c>
      <c r="U1" s="10"/>
      <c r="V1" s="8" t="s">
        <v>35</v>
      </c>
      <c r="W1" s="8" t="s">
        <v>36</v>
      </c>
    </row>
    <row r="2">
      <c r="A2" s="12" t="s">
        <v>38</v>
      </c>
      <c r="B2" s="12">
        <v>3.0</v>
      </c>
      <c r="D2" s="12" t="s">
        <v>38</v>
      </c>
      <c r="E2" s="12">
        <v>3.0</v>
      </c>
      <c r="G2" s="12" t="s">
        <v>38</v>
      </c>
      <c r="H2" s="12">
        <v>4.0</v>
      </c>
      <c r="I2" s="10"/>
      <c r="J2" s="12" t="s">
        <v>38</v>
      </c>
      <c r="K2" s="12">
        <v>5.0</v>
      </c>
      <c r="L2" s="10"/>
      <c r="M2" s="12" t="s">
        <v>38</v>
      </c>
      <c r="N2" s="12">
        <v>4.0</v>
      </c>
      <c r="O2" s="10"/>
      <c r="P2" s="12" t="s">
        <v>38</v>
      </c>
      <c r="Q2" s="12">
        <v>2.0</v>
      </c>
      <c r="R2" s="10"/>
      <c r="S2" s="12" t="s">
        <v>38</v>
      </c>
      <c r="T2" s="12">
        <v>7.0</v>
      </c>
      <c r="U2" s="10"/>
      <c r="V2" s="12" t="s">
        <v>38</v>
      </c>
      <c r="W2" s="12">
        <v>2.0</v>
      </c>
    </row>
    <row r="3">
      <c r="A3" s="12" t="s">
        <v>54</v>
      </c>
      <c r="B3" s="12">
        <v>3.0</v>
      </c>
      <c r="D3" s="12" t="s">
        <v>54</v>
      </c>
      <c r="E3" s="12">
        <v>1.0</v>
      </c>
      <c r="G3" s="12" t="s">
        <v>54</v>
      </c>
      <c r="H3" s="12">
        <v>0.0</v>
      </c>
      <c r="I3" s="10"/>
      <c r="J3" s="12" t="s">
        <v>54</v>
      </c>
      <c r="K3" s="12">
        <v>2.0</v>
      </c>
      <c r="L3" s="10"/>
      <c r="M3" s="12" t="s">
        <v>54</v>
      </c>
      <c r="N3" s="12">
        <v>4.0</v>
      </c>
      <c r="O3" s="10"/>
      <c r="P3" s="12" t="s">
        <v>54</v>
      </c>
      <c r="Q3" s="12">
        <v>0.0</v>
      </c>
      <c r="R3" s="10"/>
      <c r="S3" s="12" t="s">
        <v>54</v>
      </c>
      <c r="T3" s="12">
        <v>1.0</v>
      </c>
      <c r="U3" s="10"/>
      <c r="V3" s="12" t="s">
        <v>54</v>
      </c>
      <c r="W3" s="12">
        <v>0.0</v>
      </c>
    </row>
    <row r="4">
      <c r="A4" s="12" t="s">
        <v>66</v>
      </c>
      <c r="B4" s="12">
        <v>2.0</v>
      </c>
      <c r="D4" s="12" t="s">
        <v>66</v>
      </c>
      <c r="E4" s="12">
        <v>2.0</v>
      </c>
      <c r="G4" s="12" t="s">
        <v>66</v>
      </c>
      <c r="H4" s="12">
        <v>3.0</v>
      </c>
      <c r="I4" s="10"/>
      <c r="J4" s="12" t="s">
        <v>66</v>
      </c>
      <c r="K4" s="12">
        <v>1.0</v>
      </c>
      <c r="L4" s="10"/>
      <c r="M4" s="12" t="s">
        <v>66</v>
      </c>
      <c r="N4" s="12">
        <v>3.0</v>
      </c>
      <c r="O4" s="10"/>
      <c r="P4" s="12" t="s">
        <v>66</v>
      </c>
      <c r="Q4" s="18">
        <v>1.0</v>
      </c>
      <c r="R4" s="10"/>
      <c r="S4" s="12" t="s">
        <v>66</v>
      </c>
      <c r="T4" s="12">
        <v>1.0</v>
      </c>
      <c r="U4" s="10"/>
      <c r="V4" s="12" t="s">
        <v>66</v>
      </c>
      <c r="W4" s="18">
        <v>1.0</v>
      </c>
    </row>
    <row r="5">
      <c r="A5" s="12" t="s">
        <v>84</v>
      </c>
      <c r="B5" s="12">
        <v>2.0</v>
      </c>
      <c r="D5" s="12" t="s">
        <v>84</v>
      </c>
      <c r="E5" s="12">
        <v>0.0</v>
      </c>
      <c r="G5" s="12" t="s">
        <v>84</v>
      </c>
      <c r="H5" s="12">
        <v>1.0</v>
      </c>
      <c r="I5" s="10"/>
      <c r="J5" s="12" t="s">
        <v>84</v>
      </c>
      <c r="K5" s="12">
        <v>2.0</v>
      </c>
      <c r="L5" s="10"/>
      <c r="M5" s="12" t="s">
        <v>84</v>
      </c>
      <c r="N5" s="12">
        <v>1.0</v>
      </c>
      <c r="O5" s="10"/>
      <c r="P5" s="12" t="s">
        <v>84</v>
      </c>
      <c r="Q5" s="12">
        <v>0.0</v>
      </c>
      <c r="R5" s="10"/>
      <c r="S5" s="12" t="s">
        <v>84</v>
      </c>
      <c r="T5" s="12">
        <v>1.0</v>
      </c>
      <c r="U5" s="10"/>
      <c r="V5" s="12" t="s">
        <v>84</v>
      </c>
      <c r="W5" s="12">
        <v>0.0</v>
      </c>
    </row>
    <row r="6">
      <c r="A6" s="12" t="s">
        <v>90</v>
      </c>
      <c r="B6" s="12">
        <v>0.0</v>
      </c>
      <c r="D6" s="12" t="s">
        <v>90</v>
      </c>
      <c r="E6" s="12">
        <v>2.0</v>
      </c>
      <c r="G6" s="12" t="s">
        <v>90</v>
      </c>
      <c r="H6" s="12">
        <v>1.0</v>
      </c>
      <c r="I6" s="10"/>
      <c r="J6" s="12" t="s">
        <v>90</v>
      </c>
      <c r="K6" s="12">
        <v>0.0</v>
      </c>
      <c r="L6" s="10"/>
      <c r="M6" s="12" t="s">
        <v>90</v>
      </c>
      <c r="N6" s="12">
        <v>2.0</v>
      </c>
      <c r="O6" s="10"/>
      <c r="P6" s="12" t="s">
        <v>90</v>
      </c>
      <c r="Q6" s="12">
        <v>0.0</v>
      </c>
      <c r="R6" s="10"/>
      <c r="S6" s="12" t="s">
        <v>90</v>
      </c>
      <c r="T6" s="12">
        <v>1.0</v>
      </c>
      <c r="U6" s="10"/>
      <c r="V6" s="12" t="s">
        <v>90</v>
      </c>
      <c r="W6" s="12">
        <v>0.0</v>
      </c>
    </row>
    <row r="7">
      <c r="A7" s="12" t="s">
        <v>140</v>
      </c>
      <c r="B7" s="12">
        <v>1.0</v>
      </c>
      <c r="D7" s="12" t="s">
        <v>140</v>
      </c>
      <c r="E7" s="18">
        <v>1.0</v>
      </c>
      <c r="G7" s="12" t="s">
        <v>140</v>
      </c>
      <c r="H7" s="12">
        <v>1.0</v>
      </c>
      <c r="I7" s="10"/>
      <c r="J7" s="12" t="s">
        <v>140</v>
      </c>
      <c r="K7" s="12">
        <v>0.0</v>
      </c>
      <c r="L7" s="10"/>
      <c r="M7" s="12" t="s">
        <v>140</v>
      </c>
      <c r="N7" s="12">
        <v>1.0</v>
      </c>
      <c r="O7" s="10"/>
      <c r="P7" s="12" t="s">
        <v>140</v>
      </c>
      <c r="Q7" s="12">
        <v>0.0</v>
      </c>
      <c r="R7" s="10"/>
      <c r="S7" s="12" t="s">
        <v>140</v>
      </c>
      <c r="T7" s="12">
        <v>0.0</v>
      </c>
      <c r="U7" s="10"/>
      <c r="V7" s="12" t="s">
        <v>140</v>
      </c>
      <c r="W7" s="12">
        <v>0.0</v>
      </c>
    </row>
    <row r="8">
      <c r="A8" s="24" t="s">
        <v>154</v>
      </c>
      <c r="B8" s="24">
        <f>SUM(B2:B7)</f>
        <v>11</v>
      </c>
      <c r="D8" s="24" t="s">
        <v>154</v>
      </c>
      <c r="E8" s="25">
        <f>SUM(E2:E7)</f>
        <v>9</v>
      </c>
      <c r="G8" s="24" t="s">
        <v>154</v>
      </c>
      <c r="H8" s="24">
        <f>SUM(H2:H7)</f>
        <v>10</v>
      </c>
      <c r="I8" s="10"/>
      <c r="J8" s="24" t="s">
        <v>154</v>
      </c>
      <c r="K8" s="24">
        <f>SUM(K2:K7)</f>
        <v>10</v>
      </c>
      <c r="L8" s="10"/>
      <c r="M8" s="24" t="s">
        <v>154</v>
      </c>
      <c r="N8" s="24">
        <f>SUM(N2:N7)</f>
        <v>15</v>
      </c>
      <c r="O8" s="10"/>
      <c r="P8" s="24" t="s">
        <v>154</v>
      </c>
      <c r="Q8" s="24">
        <f>SUM(Q2:Q7)</f>
        <v>3</v>
      </c>
      <c r="R8" s="10"/>
      <c r="S8" s="24" t="s">
        <v>154</v>
      </c>
      <c r="T8" s="24">
        <f>SUM(T1:T7)</f>
        <v>11</v>
      </c>
      <c r="U8" s="10"/>
      <c r="V8" s="24" t="s">
        <v>154</v>
      </c>
      <c r="W8" s="24">
        <f>SUM(W2:W7)</f>
        <v>3</v>
      </c>
    </row>
    <row r="9">
      <c r="A9" s="26" t="s">
        <v>177</v>
      </c>
      <c r="B9" s="8" t="s">
        <v>15</v>
      </c>
      <c r="D9" s="27" t="s">
        <v>178</v>
      </c>
      <c r="E9" s="28" t="s">
        <v>17</v>
      </c>
      <c r="G9" s="27" t="s">
        <v>179</v>
      </c>
      <c r="H9" s="8" t="s">
        <v>19</v>
      </c>
      <c r="I9" s="10"/>
      <c r="J9" s="27" t="s">
        <v>180</v>
      </c>
      <c r="K9" s="8" t="s">
        <v>22</v>
      </c>
      <c r="L9" s="10"/>
      <c r="M9" s="27" t="s">
        <v>181</v>
      </c>
      <c r="N9" s="8" t="s">
        <v>27</v>
      </c>
      <c r="O9" s="10"/>
      <c r="P9" s="27" t="s">
        <v>182</v>
      </c>
      <c r="Q9" s="8" t="s">
        <v>31</v>
      </c>
      <c r="R9" s="10"/>
      <c r="S9" s="27" t="s">
        <v>183</v>
      </c>
      <c r="T9" s="8" t="s">
        <v>34</v>
      </c>
      <c r="U9" s="10"/>
      <c r="V9" s="27" t="s">
        <v>184</v>
      </c>
      <c r="W9" s="8" t="s">
        <v>36</v>
      </c>
    </row>
    <row r="10">
      <c r="A10" s="12" t="s">
        <v>185</v>
      </c>
      <c r="B10" s="12">
        <v>0.0</v>
      </c>
      <c r="D10" s="12" t="s">
        <v>185</v>
      </c>
      <c r="E10" s="29">
        <v>0.0</v>
      </c>
      <c r="G10" s="12" t="s">
        <v>185</v>
      </c>
      <c r="H10" s="12">
        <v>0.0</v>
      </c>
      <c r="I10" s="10"/>
      <c r="J10" s="12" t="s">
        <v>185</v>
      </c>
      <c r="K10" s="12">
        <v>8.0</v>
      </c>
      <c r="L10" s="10"/>
      <c r="M10" s="12" t="s">
        <v>185</v>
      </c>
      <c r="N10" s="12">
        <v>11.0</v>
      </c>
      <c r="O10" s="10"/>
      <c r="P10" s="12" t="s">
        <v>185</v>
      </c>
      <c r="Q10" s="12">
        <v>2.0</v>
      </c>
      <c r="R10" s="10"/>
      <c r="S10" s="12" t="s">
        <v>185</v>
      </c>
      <c r="T10" s="12">
        <v>11.0</v>
      </c>
      <c r="U10" s="10"/>
      <c r="V10" s="12" t="s">
        <v>185</v>
      </c>
      <c r="W10" s="12">
        <v>2.0</v>
      </c>
    </row>
    <row r="11">
      <c r="A11" s="12" t="s">
        <v>186</v>
      </c>
      <c r="B11" s="12">
        <v>0.0</v>
      </c>
      <c r="D11" s="12" t="s">
        <v>186</v>
      </c>
      <c r="E11" s="12">
        <v>0.0</v>
      </c>
      <c r="G11" s="12" t="s">
        <v>186</v>
      </c>
      <c r="H11" s="12">
        <v>0.0</v>
      </c>
      <c r="I11" s="10"/>
      <c r="J11" s="12" t="s">
        <v>186</v>
      </c>
      <c r="K11" s="12">
        <v>2.0</v>
      </c>
      <c r="L11" s="10"/>
      <c r="M11" s="12" t="s">
        <v>186</v>
      </c>
      <c r="N11" s="12">
        <v>1.0</v>
      </c>
      <c r="O11" s="10"/>
      <c r="P11" s="12" t="s">
        <v>186</v>
      </c>
      <c r="Q11" s="12">
        <v>0.0</v>
      </c>
      <c r="R11" s="10"/>
      <c r="S11" s="12" t="s">
        <v>186</v>
      </c>
      <c r="T11" s="12">
        <v>0.0</v>
      </c>
      <c r="U11" s="10"/>
      <c r="V11" s="12" t="s">
        <v>186</v>
      </c>
      <c r="W11" s="12">
        <v>0.0</v>
      </c>
    </row>
    <row r="12">
      <c r="A12" s="12" t="s">
        <v>187</v>
      </c>
      <c r="B12" s="12">
        <v>0.0</v>
      </c>
      <c r="D12" s="12" t="s">
        <v>187</v>
      </c>
      <c r="E12" s="12">
        <v>1.0</v>
      </c>
      <c r="G12" s="12" t="s">
        <v>187</v>
      </c>
      <c r="H12" s="12">
        <v>2.0</v>
      </c>
      <c r="I12" s="10"/>
      <c r="J12" s="12" t="s">
        <v>187</v>
      </c>
      <c r="K12" s="12">
        <v>0.0</v>
      </c>
      <c r="L12" s="10"/>
      <c r="M12" s="12" t="s">
        <v>187</v>
      </c>
      <c r="N12" s="12">
        <v>0.0</v>
      </c>
      <c r="O12" s="10"/>
      <c r="P12" s="12" t="s">
        <v>187</v>
      </c>
      <c r="Q12" s="12">
        <v>0.0</v>
      </c>
      <c r="R12" s="10"/>
      <c r="S12" s="12" t="s">
        <v>187</v>
      </c>
      <c r="T12" s="12">
        <v>0.0</v>
      </c>
      <c r="U12" s="10"/>
      <c r="V12" s="12" t="s">
        <v>187</v>
      </c>
      <c r="W12" s="12">
        <v>0.0</v>
      </c>
    </row>
    <row r="13">
      <c r="A13" s="12" t="s">
        <v>188</v>
      </c>
      <c r="B13" s="12">
        <v>0.0</v>
      </c>
      <c r="D13" s="12" t="s">
        <v>188</v>
      </c>
      <c r="E13" s="12">
        <v>3.0</v>
      </c>
      <c r="G13" s="12" t="s">
        <v>188</v>
      </c>
      <c r="H13" s="12">
        <v>3.0</v>
      </c>
      <c r="I13" s="10"/>
      <c r="J13" s="12" t="s">
        <v>188</v>
      </c>
      <c r="K13" s="12">
        <v>0.0</v>
      </c>
      <c r="L13" s="10"/>
      <c r="M13" s="12" t="s">
        <v>188</v>
      </c>
      <c r="N13" s="12">
        <v>3.0</v>
      </c>
      <c r="O13" s="10"/>
      <c r="P13" s="12" t="s">
        <v>188</v>
      </c>
      <c r="Q13" s="12">
        <v>0.0</v>
      </c>
      <c r="R13" s="10"/>
      <c r="S13" s="12" t="s">
        <v>188</v>
      </c>
      <c r="T13" s="12">
        <v>0.0</v>
      </c>
      <c r="U13" s="10"/>
      <c r="V13" s="12" t="s">
        <v>188</v>
      </c>
      <c r="W13" s="12">
        <v>0.0</v>
      </c>
    </row>
    <row r="14">
      <c r="A14" s="18" t="s">
        <v>189</v>
      </c>
      <c r="B14" s="12">
        <v>0.0</v>
      </c>
      <c r="D14" s="18" t="s">
        <v>190</v>
      </c>
      <c r="E14" s="18">
        <v>1.0</v>
      </c>
      <c r="G14" s="12" t="s">
        <v>191</v>
      </c>
      <c r="H14" s="12">
        <v>1.0</v>
      </c>
      <c r="I14" s="10"/>
      <c r="J14" s="12" t="s">
        <v>191</v>
      </c>
      <c r="K14" s="12">
        <v>0.0</v>
      </c>
      <c r="L14" s="10"/>
      <c r="M14" s="12" t="s">
        <v>191</v>
      </c>
      <c r="N14" s="12">
        <v>0.0</v>
      </c>
      <c r="O14" s="10"/>
      <c r="P14" s="18" t="s">
        <v>192</v>
      </c>
      <c r="Q14" s="18">
        <v>1.0</v>
      </c>
      <c r="R14" s="10"/>
      <c r="S14" s="12" t="s">
        <v>191</v>
      </c>
      <c r="T14" s="12">
        <v>0.0</v>
      </c>
      <c r="U14" s="10"/>
      <c r="V14" s="18" t="s">
        <v>192</v>
      </c>
      <c r="W14" s="18">
        <v>1.0</v>
      </c>
    </row>
    <row r="15">
      <c r="A15" s="18" t="s">
        <v>193</v>
      </c>
      <c r="B15" s="18">
        <v>0.0</v>
      </c>
      <c r="D15" s="18" t="s">
        <v>193</v>
      </c>
      <c r="E15" s="18">
        <v>0.0</v>
      </c>
      <c r="G15" s="12" t="s">
        <v>193</v>
      </c>
      <c r="H15" s="12">
        <v>0.0</v>
      </c>
      <c r="I15" s="10"/>
      <c r="J15" s="12" t="s">
        <v>193</v>
      </c>
      <c r="K15" s="12">
        <v>0.0</v>
      </c>
      <c r="L15" s="10"/>
      <c r="M15" s="12" t="s">
        <v>193</v>
      </c>
      <c r="N15" s="12">
        <v>0.0</v>
      </c>
      <c r="O15" s="10"/>
      <c r="P15" s="12" t="s">
        <v>193</v>
      </c>
      <c r="Q15" s="12">
        <v>0.0</v>
      </c>
      <c r="R15" s="10"/>
      <c r="S15" s="12" t="s">
        <v>193</v>
      </c>
      <c r="T15" s="12">
        <v>0.0</v>
      </c>
      <c r="U15" s="10"/>
      <c r="V15" s="12" t="s">
        <v>193</v>
      </c>
      <c r="W15" s="12">
        <v>0.0</v>
      </c>
    </row>
    <row r="16">
      <c r="A16" s="30" t="s">
        <v>40</v>
      </c>
      <c r="B16" s="18">
        <v>11.0</v>
      </c>
      <c r="D16" s="30" t="s">
        <v>40</v>
      </c>
      <c r="E16" s="18">
        <v>4.0</v>
      </c>
      <c r="G16" s="12" t="s">
        <v>40</v>
      </c>
      <c r="H16" s="12">
        <v>4.0</v>
      </c>
      <c r="I16" s="10"/>
      <c r="J16" s="12" t="s">
        <v>40</v>
      </c>
      <c r="K16" s="12">
        <v>0.0</v>
      </c>
      <c r="L16" s="10"/>
      <c r="M16" s="12" t="s">
        <v>40</v>
      </c>
      <c r="N16" s="12">
        <v>0.0</v>
      </c>
      <c r="O16" s="10"/>
      <c r="P16" s="12" t="s">
        <v>40</v>
      </c>
      <c r="Q16" s="12">
        <v>0.0</v>
      </c>
      <c r="R16" s="10"/>
      <c r="S16" s="12" t="s">
        <v>40</v>
      </c>
      <c r="T16" s="12">
        <v>0.0</v>
      </c>
      <c r="U16" s="10"/>
      <c r="V16" s="12" t="s">
        <v>40</v>
      </c>
      <c r="W16" s="12">
        <v>0.0</v>
      </c>
    </row>
    <row r="17">
      <c r="A17" s="31" t="s">
        <v>154</v>
      </c>
      <c r="B17" s="12">
        <f>SUM(B10:B16)</f>
        <v>11</v>
      </c>
      <c r="D17" s="31" t="s">
        <v>154</v>
      </c>
      <c r="E17" s="12">
        <f>SUM(E10:E16)</f>
        <v>9</v>
      </c>
      <c r="G17" s="31" t="s">
        <v>154</v>
      </c>
      <c r="H17" s="12">
        <f>SUM(H10:H16)</f>
        <v>10</v>
      </c>
      <c r="I17" s="10"/>
      <c r="J17" s="31" t="s">
        <v>154</v>
      </c>
      <c r="K17" s="12">
        <f>SUM(K10:K16)</f>
        <v>10</v>
      </c>
      <c r="L17" s="10"/>
      <c r="M17" s="31" t="s">
        <v>154</v>
      </c>
      <c r="N17" s="12">
        <f>SUM(N10:N16)</f>
        <v>15</v>
      </c>
      <c r="O17" s="10"/>
      <c r="P17" s="31" t="s">
        <v>154</v>
      </c>
      <c r="Q17" s="12">
        <f>SUM(Q10:Q16)</f>
        <v>3</v>
      </c>
      <c r="R17" s="10"/>
      <c r="S17" s="31" t="s">
        <v>154</v>
      </c>
      <c r="T17" s="12">
        <f>SUM(T10:T16)</f>
        <v>11</v>
      </c>
      <c r="U17" s="10"/>
      <c r="V17" s="31" t="s">
        <v>154</v>
      </c>
      <c r="W17" s="12">
        <f>SUM(W10:W16)</f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5.88"/>
    <col customWidth="1" min="3" max="3" width="33.0"/>
    <col customWidth="1" min="5" max="5" width="8.88"/>
    <col customWidth="1" min="6" max="6" width="34.75"/>
    <col customWidth="1" min="7" max="7" width="31.13"/>
    <col customWidth="1" min="8" max="8" width="40.25"/>
    <col customWidth="1" min="9" max="9" width="40.75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3"/>
      <c r="B2" s="3"/>
      <c r="C2" s="14" t="s">
        <v>44</v>
      </c>
      <c r="D2" s="15"/>
      <c r="E2" s="15"/>
      <c r="F2" s="15"/>
      <c r="G2" s="15"/>
      <c r="H2" s="15"/>
      <c r="I2" s="17"/>
    </row>
    <row r="3">
      <c r="A3" s="4">
        <v>1.0</v>
      </c>
      <c r="B3" s="1" t="s">
        <v>58</v>
      </c>
      <c r="C3" s="13" t="s">
        <v>62</v>
      </c>
      <c r="D3" s="13">
        <v>12.0</v>
      </c>
      <c r="E3" s="13" t="s">
        <v>40</v>
      </c>
      <c r="F3" s="13" t="s">
        <v>65</v>
      </c>
      <c r="G3" s="13" t="s">
        <v>68</v>
      </c>
      <c r="H3" s="11" t="s">
        <v>71</v>
      </c>
      <c r="I3" s="11"/>
    </row>
    <row r="4">
      <c r="A4" s="4">
        <v>2.0</v>
      </c>
      <c r="B4" s="1" t="s">
        <v>76</v>
      </c>
      <c r="C4" s="13" t="s">
        <v>78</v>
      </c>
      <c r="D4" s="13">
        <v>11.0</v>
      </c>
      <c r="E4" s="13" t="s">
        <v>40</v>
      </c>
      <c r="F4" s="13" t="s">
        <v>81</v>
      </c>
      <c r="G4" s="13" t="s">
        <v>83</v>
      </c>
      <c r="H4" s="11" t="s">
        <v>85</v>
      </c>
      <c r="I4" s="11"/>
    </row>
    <row r="5">
      <c r="A5" s="4">
        <v>3.0</v>
      </c>
      <c r="B5" s="11" t="s">
        <v>87</v>
      </c>
      <c r="C5" s="20">
        <v>41859.0</v>
      </c>
      <c r="D5" s="13">
        <v>11.0</v>
      </c>
      <c r="E5" s="13" t="s">
        <v>40</v>
      </c>
      <c r="F5" s="13" t="s">
        <v>91</v>
      </c>
      <c r="G5" s="13" t="s">
        <v>92</v>
      </c>
      <c r="H5" s="11" t="s">
        <v>93</v>
      </c>
      <c r="I5" s="11"/>
    </row>
    <row r="6">
      <c r="A6" s="4">
        <v>4.0</v>
      </c>
      <c r="B6" s="11" t="s">
        <v>96</v>
      </c>
      <c r="C6" s="16">
        <v>41800.0</v>
      </c>
      <c r="D6" s="13">
        <v>11.0</v>
      </c>
      <c r="E6" s="13" t="s">
        <v>40</v>
      </c>
      <c r="F6" s="13" t="s">
        <v>100</v>
      </c>
      <c r="G6" s="13" t="s">
        <v>101</v>
      </c>
      <c r="H6" s="11" t="s">
        <v>105</v>
      </c>
      <c r="I6" s="11"/>
    </row>
    <row r="7">
      <c r="A7" s="4">
        <v>5.0</v>
      </c>
      <c r="B7" s="1" t="s">
        <v>109</v>
      </c>
      <c r="C7" s="16">
        <v>41983.0</v>
      </c>
      <c r="D7" s="13">
        <v>11.0</v>
      </c>
      <c r="E7" s="13" t="s">
        <v>40</v>
      </c>
      <c r="F7" s="13" t="s">
        <v>110</v>
      </c>
      <c r="G7" s="13" t="s">
        <v>111</v>
      </c>
      <c r="H7" s="11" t="s">
        <v>112</v>
      </c>
      <c r="I7" s="11"/>
    </row>
    <row r="8">
      <c r="A8" s="4">
        <v>6.0</v>
      </c>
      <c r="B8" s="11" t="s">
        <v>114</v>
      </c>
      <c r="C8" s="22" t="s">
        <v>115</v>
      </c>
      <c r="D8" s="13">
        <v>11.0</v>
      </c>
      <c r="E8" s="13" t="s">
        <v>40</v>
      </c>
      <c r="F8" s="13" t="s">
        <v>120</v>
      </c>
      <c r="G8" s="13" t="s">
        <v>122</v>
      </c>
      <c r="H8" s="11" t="s">
        <v>123</v>
      </c>
      <c r="I8" s="11"/>
    </row>
    <row r="9">
      <c r="A9" s="4">
        <v>7.0</v>
      </c>
      <c r="B9" s="1" t="s">
        <v>125</v>
      </c>
      <c r="C9" s="16">
        <v>41771.0</v>
      </c>
      <c r="D9" s="13">
        <v>11.0</v>
      </c>
      <c r="E9" s="13" t="s">
        <v>40</v>
      </c>
      <c r="F9" s="13" t="s">
        <v>126</v>
      </c>
      <c r="G9" s="13" t="s">
        <v>127</v>
      </c>
      <c r="H9" s="11" t="s">
        <v>129</v>
      </c>
      <c r="I9" s="11"/>
    </row>
    <row r="10">
      <c r="A10" s="4">
        <v>8.0</v>
      </c>
      <c r="B10" s="11" t="s">
        <v>131</v>
      </c>
      <c r="C10" s="13" t="s">
        <v>133</v>
      </c>
      <c r="D10" s="13">
        <v>11.0</v>
      </c>
      <c r="E10" s="13" t="s">
        <v>40</v>
      </c>
      <c r="F10" s="13" t="s">
        <v>135</v>
      </c>
      <c r="G10" s="13" t="s">
        <v>137</v>
      </c>
      <c r="H10" s="11" t="s">
        <v>139</v>
      </c>
      <c r="I10" s="11"/>
    </row>
    <row r="11">
      <c r="A11" s="4">
        <v>9.0</v>
      </c>
      <c r="B11" s="1" t="s">
        <v>142</v>
      </c>
      <c r="C11" s="23"/>
      <c r="D11" s="13">
        <v>11.0</v>
      </c>
      <c r="E11" s="13" t="s">
        <v>40</v>
      </c>
      <c r="F11" s="11"/>
      <c r="G11" s="11"/>
      <c r="H11" s="11"/>
      <c r="I11" s="11"/>
    </row>
    <row r="12">
      <c r="A12" s="4">
        <v>10.0</v>
      </c>
      <c r="B12" s="1" t="s">
        <v>151</v>
      </c>
      <c r="C12" s="23"/>
      <c r="D12" s="13">
        <v>12.0</v>
      </c>
      <c r="E12" s="13" t="s">
        <v>40</v>
      </c>
      <c r="F12" s="13" t="s">
        <v>155</v>
      </c>
      <c r="G12" s="13" t="s">
        <v>157</v>
      </c>
      <c r="H12" s="11" t="s">
        <v>159</v>
      </c>
      <c r="I12" s="11"/>
    </row>
    <row r="13">
      <c r="A13" s="4">
        <v>11.0</v>
      </c>
      <c r="B13" s="11" t="s">
        <v>161</v>
      </c>
      <c r="C13" s="13" t="s">
        <v>163</v>
      </c>
      <c r="D13" s="13">
        <v>12.0</v>
      </c>
      <c r="E13" s="13" t="s">
        <v>40</v>
      </c>
      <c r="F13" s="13" t="s">
        <v>165</v>
      </c>
      <c r="G13" s="13" t="s">
        <v>167</v>
      </c>
      <c r="H13" s="11" t="s">
        <v>169</v>
      </c>
      <c r="I13" s="11"/>
    </row>
  </sheetData>
  <mergeCells count="1">
    <mergeCell ref="C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7.75"/>
    <col customWidth="1" min="3" max="3" width="22.63"/>
    <col customWidth="1" min="5" max="5" width="17.38"/>
    <col customWidth="1" min="6" max="6" width="33.75"/>
    <col customWidth="1" min="7" max="7" width="20.75"/>
    <col customWidth="1" min="8" max="8" width="43.38"/>
    <col customWidth="1" min="9" max="9" width="22.25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4">
        <v>1.0</v>
      </c>
      <c r="B2" s="11" t="s">
        <v>37</v>
      </c>
      <c r="C2" s="13" t="s">
        <v>39</v>
      </c>
      <c r="D2" s="13">
        <v>11.0</v>
      </c>
      <c r="E2" s="13" t="s">
        <v>40</v>
      </c>
      <c r="F2" s="13" t="s">
        <v>41</v>
      </c>
      <c r="G2" s="13" t="s">
        <v>42</v>
      </c>
      <c r="H2" s="11" t="s">
        <v>43</v>
      </c>
      <c r="I2" s="11"/>
    </row>
    <row r="3">
      <c r="A3" s="4">
        <v>2.0</v>
      </c>
      <c r="B3" s="1" t="s">
        <v>45</v>
      </c>
      <c r="C3" s="13" t="s">
        <v>46</v>
      </c>
      <c r="D3" s="13">
        <v>11.0</v>
      </c>
      <c r="E3" s="13" t="s">
        <v>47</v>
      </c>
      <c r="F3" s="13" t="s">
        <v>48</v>
      </c>
      <c r="G3" s="13" t="s">
        <v>49</v>
      </c>
      <c r="H3" s="11" t="s">
        <v>50</v>
      </c>
      <c r="I3" s="11"/>
    </row>
    <row r="4">
      <c r="A4" s="4">
        <v>3.0</v>
      </c>
      <c r="B4" s="1" t="s">
        <v>51</v>
      </c>
      <c r="C4" s="16">
        <v>42341.0</v>
      </c>
      <c r="D4" s="13">
        <v>11.0</v>
      </c>
      <c r="E4" s="13" t="s">
        <v>47</v>
      </c>
      <c r="F4" s="13" t="s">
        <v>52</v>
      </c>
      <c r="G4" s="13" t="s">
        <v>53</v>
      </c>
      <c r="H4" s="11" t="s">
        <v>55</v>
      </c>
      <c r="I4" s="11"/>
    </row>
    <row r="5">
      <c r="A5" s="4">
        <v>4.0</v>
      </c>
      <c r="B5" s="1" t="s">
        <v>56</v>
      </c>
      <c r="C5" s="13" t="s">
        <v>57</v>
      </c>
      <c r="D5" s="13">
        <v>11.0</v>
      </c>
      <c r="E5" s="13" t="s">
        <v>40</v>
      </c>
      <c r="F5" s="13" t="s">
        <v>59</v>
      </c>
      <c r="G5" s="13" t="s">
        <v>60</v>
      </c>
      <c r="H5" s="11" t="s">
        <v>61</v>
      </c>
      <c r="I5" s="11"/>
    </row>
    <row r="6">
      <c r="A6" s="4">
        <v>5.0</v>
      </c>
      <c r="B6" s="11" t="s">
        <v>63</v>
      </c>
      <c r="C6" s="13" t="s">
        <v>64</v>
      </c>
      <c r="D6" s="13">
        <v>11.0</v>
      </c>
      <c r="E6" s="13" t="s">
        <v>40</v>
      </c>
      <c r="F6" s="13" t="s">
        <v>67</v>
      </c>
      <c r="G6" s="13" t="s">
        <v>69</v>
      </c>
      <c r="H6" s="11" t="s">
        <v>70</v>
      </c>
      <c r="I6" s="11"/>
    </row>
    <row r="7">
      <c r="A7" s="4">
        <v>6.0</v>
      </c>
      <c r="B7" s="1" t="s">
        <v>72</v>
      </c>
      <c r="C7" s="16">
        <v>42315.0</v>
      </c>
      <c r="D7" s="13">
        <v>10.0</v>
      </c>
      <c r="E7" s="13" t="s">
        <v>47</v>
      </c>
      <c r="F7" s="13" t="s">
        <v>73</v>
      </c>
      <c r="G7" s="13" t="s">
        <v>74</v>
      </c>
      <c r="H7" s="11" t="s">
        <v>75</v>
      </c>
      <c r="I7" s="11"/>
    </row>
    <row r="8">
      <c r="A8" s="4">
        <v>7.0</v>
      </c>
      <c r="B8" s="11" t="s">
        <v>77</v>
      </c>
      <c r="C8" s="13" t="s">
        <v>79</v>
      </c>
      <c r="D8" s="13">
        <v>10.0</v>
      </c>
      <c r="E8" s="13" t="s">
        <v>40</v>
      </c>
      <c r="F8" s="13" t="s">
        <v>80</v>
      </c>
      <c r="G8" s="19" t="s">
        <v>82</v>
      </c>
      <c r="H8" s="11" t="s">
        <v>86</v>
      </c>
      <c r="I8" s="11"/>
    </row>
    <row r="9">
      <c r="A9" s="7">
        <v>8.0</v>
      </c>
      <c r="B9" s="6" t="s">
        <v>88</v>
      </c>
      <c r="C9" s="21" t="s">
        <v>89</v>
      </c>
      <c r="D9" s="21">
        <v>10.0</v>
      </c>
      <c r="E9" s="21" t="s">
        <v>94</v>
      </c>
      <c r="F9" s="21" t="s">
        <v>95</v>
      </c>
      <c r="G9" s="21" t="s">
        <v>98</v>
      </c>
      <c r="H9" s="11"/>
      <c r="I9" s="11"/>
    </row>
    <row r="10">
      <c r="A10" s="7">
        <v>9.0</v>
      </c>
      <c r="B10" s="11" t="s">
        <v>99</v>
      </c>
      <c r="C10" s="16">
        <v>42015.0</v>
      </c>
      <c r="D10" s="13">
        <v>10.0</v>
      </c>
      <c r="E10" s="13" t="s">
        <v>102</v>
      </c>
      <c r="F10" s="13" t="s">
        <v>104</v>
      </c>
      <c r="G10" s="13" t="s">
        <v>106</v>
      </c>
      <c r="H10" s="11" t="s">
        <v>108</v>
      </c>
      <c r="I1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4.0"/>
    <col customWidth="1" min="4" max="4" width="4.88"/>
    <col customWidth="1" min="6" max="6" width="23.0"/>
    <col customWidth="1" min="7" max="7" width="20.25"/>
    <col customWidth="1" min="8" max="8" width="44.88"/>
    <col customWidth="1" min="9" max="9" width="22.25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4">
        <v>1.0</v>
      </c>
      <c r="B2" s="1" t="s">
        <v>97</v>
      </c>
      <c r="C2" s="16">
        <v>42401.0</v>
      </c>
      <c r="D2" s="13">
        <v>10.0</v>
      </c>
      <c r="E2" s="13" t="s">
        <v>47</v>
      </c>
      <c r="F2" s="13" t="s">
        <v>103</v>
      </c>
      <c r="G2" s="13" t="s">
        <v>107</v>
      </c>
      <c r="H2" s="11" t="s">
        <v>113</v>
      </c>
      <c r="I2" s="11"/>
    </row>
    <row r="3">
      <c r="A3" s="4">
        <v>2.0</v>
      </c>
      <c r="B3" s="11" t="s">
        <v>116</v>
      </c>
      <c r="C3" s="13" t="s">
        <v>117</v>
      </c>
      <c r="D3" s="13">
        <v>10.0</v>
      </c>
      <c r="E3" s="13" t="s">
        <v>102</v>
      </c>
      <c r="F3" s="13" t="s">
        <v>118</v>
      </c>
      <c r="G3" s="13" t="s">
        <v>119</v>
      </c>
      <c r="H3" s="11" t="s">
        <v>121</v>
      </c>
      <c r="I3" s="11"/>
    </row>
    <row r="4">
      <c r="A4" s="4">
        <v>3.0</v>
      </c>
      <c r="B4" s="1" t="s">
        <v>124</v>
      </c>
      <c r="C4" s="16">
        <v>42402.0</v>
      </c>
      <c r="D4" s="13">
        <v>10.0</v>
      </c>
      <c r="E4" s="13" t="s">
        <v>47</v>
      </c>
      <c r="F4" s="13" t="s">
        <v>9</v>
      </c>
      <c r="G4" s="13" t="s">
        <v>128</v>
      </c>
      <c r="H4" s="11" t="s">
        <v>130</v>
      </c>
      <c r="I4" s="11"/>
    </row>
    <row r="5">
      <c r="A5" s="4">
        <v>4.0</v>
      </c>
      <c r="B5" s="11" t="s">
        <v>132</v>
      </c>
      <c r="C5" s="13" t="s">
        <v>134</v>
      </c>
      <c r="D5" s="13">
        <v>10.0</v>
      </c>
      <c r="E5" s="13" t="s">
        <v>40</v>
      </c>
      <c r="F5" s="13" t="s">
        <v>136</v>
      </c>
      <c r="G5" s="13" t="s">
        <v>138</v>
      </c>
      <c r="H5" s="11" t="s">
        <v>141</v>
      </c>
      <c r="I5" s="11"/>
    </row>
    <row r="6">
      <c r="A6" s="4">
        <v>5.0</v>
      </c>
      <c r="B6" s="1" t="s">
        <v>143</v>
      </c>
      <c r="C6" s="13" t="s">
        <v>144</v>
      </c>
      <c r="D6" s="13">
        <v>10.0</v>
      </c>
      <c r="E6" s="13" t="s">
        <v>47</v>
      </c>
      <c r="F6" s="13" t="s">
        <v>145</v>
      </c>
      <c r="G6" s="13" t="s">
        <v>146</v>
      </c>
      <c r="H6" s="11" t="s">
        <v>147</v>
      </c>
      <c r="I6" s="11"/>
    </row>
    <row r="7">
      <c r="A7" s="4">
        <v>6.0</v>
      </c>
      <c r="B7" s="11" t="s">
        <v>148</v>
      </c>
      <c r="C7" s="13" t="s">
        <v>149</v>
      </c>
      <c r="D7" s="13">
        <v>9.0</v>
      </c>
      <c r="E7" s="13" t="s">
        <v>40</v>
      </c>
      <c r="F7" s="13" t="s">
        <v>150</v>
      </c>
      <c r="G7" s="13" t="s">
        <v>152</v>
      </c>
      <c r="H7" s="11" t="s">
        <v>153</v>
      </c>
      <c r="I7" s="11"/>
    </row>
    <row r="8">
      <c r="A8" s="4">
        <v>7.0</v>
      </c>
      <c r="B8" s="11" t="s">
        <v>156</v>
      </c>
      <c r="C8" s="13" t="s">
        <v>158</v>
      </c>
      <c r="D8" s="13">
        <v>9.0</v>
      </c>
      <c r="E8" s="13" t="s">
        <v>102</v>
      </c>
      <c r="F8" s="13" t="s">
        <v>160</v>
      </c>
      <c r="G8" s="13" t="s">
        <v>162</v>
      </c>
      <c r="H8" s="11" t="s">
        <v>164</v>
      </c>
      <c r="I8" s="11"/>
    </row>
    <row r="9">
      <c r="A9" s="4">
        <v>8.0</v>
      </c>
      <c r="B9" s="11" t="s">
        <v>166</v>
      </c>
      <c r="C9" s="13" t="s">
        <v>168</v>
      </c>
      <c r="D9" s="13">
        <v>9.0</v>
      </c>
      <c r="E9" s="13" t="s">
        <v>40</v>
      </c>
      <c r="F9" s="13" t="s">
        <v>100</v>
      </c>
      <c r="G9" s="13" t="s">
        <v>101</v>
      </c>
      <c r="H9" s="11" t="s">
        <v>105</v>
      </c>
      <c r="I9" s="11"/>
    </row>
    <row r="10">
      <c r="A10" s="4">
        <v>9.0</v>
      </c>
      <c r="B10" s="1" t="s">
        <v>170</v>
      </c>
      <c r="C10" s="11"/>
      <c r="D10" s="13">
        <v>10.0</v>
      </c>
      <c r="E10" s="13" t="s">
        <v>40</v>
      </c>
      <c r="F10" s="13" t="s">
        <v>171</v>
      </c>
      <c r="G10" s="13" t="s">
        <v>172</v>
      </c>
      <c r="H10" s="11" t="s">
        <v>173</v>
      </c>
      <c r="I10" s="11"/>
    </row>
    <row r="11">
      <c r="A11" s="4">
        <v>10.0</v>
      </c>
      <c r="B11" s="1" t="s">
        <v>174</v>
      </c>
      <c r="C11" s="23"/>
      <c r="D11" s="13">
        <v>10.0</v>
      </c>
      <c r="E11" s="11"/>
      <c r="F11" s="13" t="s">
        <v>175</v>
      </c>
      <c r="G11" s="13" t="s">
        <v>176</v>
      </c>
      <c r="H11" s="11"/>
      <c r="I11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3.13"/>
    <col customWidth="1" min="3" max="3" width="24.38"/>
    <col customWidth="1" min="6" max="6" width="21.75"/>
    <col customWidth="1" min="7" max="7" width="21.38"/>
    <col customWidth="1" min="8" max="8" width="41.0"/>
    <col customWidth="1" min="9" max="9" width="22.25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4">
        <v>1.0</v>
      </c>
      <c r="B2" s="11" t="s">
        <v>196</v>
      </c>
      <c r="C2" s="32">
        <v>42980.0</v>
      </c>
      <c r="D2" s="13">
        <v>9.0</v>
      </c>
      <c r="E2" s="13" t="s">
        <v>185</v>
      </c>
      <c r="F2" s="13" t="s">
        <v>210</v>
      </c>
      <c r="G2" s="13" t="s">
        <v>211</v>
      </c>
      <c r="H2" s="11" t="s">
        <v>213</v>
      </c>
      <c r="I2" s="11"/>
    </row>
    <row r="3">
      <c r="A3" s="4">
        <v>2.0</v>
      </c>
      <c r="B3" s="11" t="s">
        <v>216</v>
      </c>
      <c r="C3" s="13" t="s">
        <v>218</v>
      </c>
      <c r="D3" s="13">
        <v>9.0</v>
      </c>
      <c r="E3" s="13" t="s">
        <v>185</v>
      </c>
      <c r="F3" s="13" t="s">
        <v>220</v>
      </c>
      <c r="G3" s="13" t="s">
        <v>127</v>
      </c>
      <c r="H3" s="11" t="s">
        <v>223</v>
      </c>
      <c r="I3" s="11"/>
    </row>
    <row r="4">
      <c r="A4" s="4">
        <v>3.0</v>
      </c>
      <c r="B4" s="11" t="s">
        <v>227</v>
      </c>
      <c r="C4" s="13" t="s">
        <v>229</v>
      </c>
      <c r="D4" s="13">
        <v>9.0</v>
      </c>
      <c r="E4" s="13" t="s">
        <v>185</v>
      </c>
      <c r="F4" s="13" t="s">
        <v>59</v>
      </c>
      <c r="G4" s="13" t="s">
        <v>60</v>
      </c>
      <c r="H4" s="11" t="s">
        <v>61</v>
      </c>
      <c r="I4" s="11"/>
    </row>
    <row r="5">
      <c r="A5" s="4">
        <v>4.0</v>
      </c>
      <c r="B5" s="11" t="s">
        <v>234</v>
      </c>
      <c r="C5" s="32">
        <v>42893.0</v>
      </c>
      <c r="D5" s="13">
        <v>8.0</v>
      </c>
      <c r="E5" s="13" t="s">
        <v>186</v>
      </c>
      <c r="F5" s="13" t="s">
        <v>238</v>
      </c>
      <c r="G5" s="13" t="s">
        <v>239</v>
      </c>
      <c r="H5" s="11" t="s">
        <v>241</v>
      </c>
      <c r="I5" s="11"/>
    </row>
    <row r="6">
      <c r="A6" s="4">
        <v>5.0</v>
      </c>
      <c r="B6" s="1" t="s">
        <v>243</v>
      </c>
      <c r="C6" s="32">
        <v>42893.0</v>
      </c>
      <c r="D6" s="13">
        <v>8.0</v>
      </c>
      <c r="E6" s="13" t="s">
        <v>186</v>
      </c>
      <c r="F6" s="13" t="s">
        <v>238</v>
      </c>
      <c r="G6" s="13" t="s">
        <v>239</v>
      </c>
      <c r="H6" s="11" t="s">
        <v>244</v>
      </c>
      <c r="I6" s="11"/>
    </row>
    <row r="7">
      <c r="A7" s="4">
        <v>6.0</v>
      </c>
      <c r="B7" s="1" t="s">
        <v>247</v>
      </c>
      <c r="C7" s="16">
        <v>43076.0</v>
      </c>
      <c r="D7" s="13">
        <v>8.0</v>
      </c>
      <c r="E7" s="13" t="s">
        <v>185</v>
      </c>
      <c r="F7" s="13" t="s">
        <v>251</v>
      </c>
      <c r="G7" s="13" t="s">
        <v>252</v>
      </c>
      <c r="H7" s="11" t="s">
        <v>253</v>
      </c>
      <c r="I7" s="11"/>
    </row>
    <row r="8">
      <c r="A8" s="4">
        <v>7.0</v>
      </c>
      <c r="B8" s="1" t="s">
        <v>254</v>
      </c>
      <c r="C8" s="13" t="s">
        <v>255</v>
      </c>
      <c r="D8" s="13">
        <v>8.0</v>
      </c>
      <c r="E8" s="13" t="s">
        <v>185</v>
      </c>
      <c r="F8" s="13" t="s">
        <v>257</v>
      </c>
      <c r="G8" s="13" t="s">
        <v>258</v>
      </c>
      <c r="H8" s="11" t="s">
        <v>259</v>
      </c>
      <c r="I8" s="11"/>
    </row>
    <row r="9">
      <c r="A9" s="4">
        <v>8.0</v>
      </c>
      <c r="B9" s="1" t="s">
        <v>261</v>
      </c>
      <c r="C9" s="13" t="s">
        <v>263</v>
      </c>
      <c r="D9" s="13">
        <v>8.0</v>
      </c>
      <c r="E9" s="13" t="s">
        <v>185</v>
      </c>
      <c r="F9" s="13" t="s">
        <v>266</v>
      </c>
      <c r="G9" s="19" t="s">
        <v>268</v>
      </c>
      <c r="H9" s="11" t="s">
        <v>269</v>
      </c>
      <c r="I9" s="11"/>
    </row>
    <row r="10">
      <c r="A10" s="4">
        <v>9.0</v>
      </c>
      <c r="B10" s="36" t="s">
        <v>277</v>
      </c>
      <c r="C10" s="32">
        <v>43018.0</v>
      </c>
      <c r="D10" s="13">
        <v>8.0</v>
      </c>
      <c r="E10" s="13" t="s">
        <v>185</v>
      </c>
      <c r="F10" s="13" t="s">
        <v>286</v>
      </c>
      <c r="G10" s="13" t="s">
        <v>289</v>
      </c>
      <c r="H10" s="11" t="s">
        <v>290</v>
      </c>
      <c r="I10" s="11"/>
    </row>
    <row r="11">
      <c r="A11" s="4">
        <v>10.0</v>
      </c>
      <c r="B11" s="11" t="s">
        <v>293</v>
      </c>
      <c r="C11" s="32">
        <v>42747.0</v>
      </c>
      <c r="D11" s="13">
        <v>8.0</v>
      </c>
      <c r="E11" s="13" t="s">
        <v>185</v>
      </c>
      <c r="F11" s="13" t="s">
        <v>297</v>
      </c>
      <c r="G11" s="13" t="s">
        <v>299</v>
      </c>
      <c r="H11" s="11" t="s">
        <v>301</v>
      </c>
      <c r="I11" s="11"/>
    </row>
    <row r="12">
      <c r="A12" s="11"/>
      <c r="B12" s="11"/>
      <c r="C12" s="39"/>
      <c r="D12" s="11"/>
      <c r="E12" s="11"/>
      <c r="F12" s="11"/>
      <c r="G12" s="11"/>
      <c r="H12" s="11"/>
      <c r="I12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9.63"/>
    <col customWidth="1" min="5" max="5" width="26.5"/>
    <col customWidth="1" min="6" max="6" width="31.13"/>
    <col customWidth="1" min="7" max="7" width="30.13"/>
    <col customWidth="1" min="8" max="8" width="54.38"/>
    <col customWidth="1" min="9" max="9" width="22.25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4">
        <v>1.0</v>
      </c>
      <c r="B2" s="11" t="s">
        <v>194</v>
      </c>
      <c r="C2" s="13" t="s">
        <v>195</v>
      </c>
      <c r="D2" s="13">
        <v>8.0</v>
      </c>
      <c r="E2" s="13" t="s">
        <v>185</v>
      </c>
      <c r="F2" s="13" t="s">
        <v>197</v>
      </c>
      <c r="G2" s="13" t="s">
        <v>198</v>
      </c>
      <c r="H2" s="11" t="s">
        <v>199</v>
      </c>
      <c r="I2" s="11"/>
    </row>
    <row r="3">
      <c r="A3" s="4">
        <v>2.0</v>
      </c>
      <c r="B3" s="11" t="s">
        <v>200</v>
      </c>
      <c r="C3" s="16">
        <v>43254.0</v>
      </c>
      <c r="D3" s="13">
        <v>8.0</v>
      </c>
      <c r="E3" s="13" t="s">
        <v>185</v>
      </c>
      <c r="F3" s="13" t="s">
        <v>201</v>
      </c>
      <c r="G3" s="13" t="s">
        <v>202</v>
      </c>
      <c r="H3" s="11" t="s">
        <v>203</v>
      </c>
      <c r="I3" s="11"/>
    </row>
    <row r="4">
      <c r="A4" s="4">
        <v>3.0</v>
      </c>
      <c r="B4" s="11" t="s">
        <v>204</v>
      </c>
      <c r="C4" s="13" t="s">
        <v>205</v>
      </c>
      <c r="D4" s="13">
        <v>7.0</v>
      </c>
      <c r="E4" s="13" t="s">
        <v>185</v>
      </c>
      <c r="F4" s="13" t="s">
        <v>206</v>
      </c>
      <c r="G4" s="13" t="s">
        <v>207</v>
      </c>
      <c r="H4" s="11" t="s">
        <v>208</v>
      </c>
      <c r="I4" s="11"/>
    </row>
    <row r="5">
      <c r="A5" s="4">
        <v>4.0</v>
      </c>
      <c r="B5" s="1" t="s">
        <v>209</v>
      </c>
      <c r="C5" s="16">
        <v>43227.0</v>
      </c>
      <c r="D5" s="13">
        <v>7.0</v>
      </c>
      <c r="E5" s="13" t="s">
        <v>185</v>
      </c>
      <c r="F5" s="13" t="s">
        <v>212</v>
      </c>
      <c r="G5" s="13" t="s">
        <v>214</v>
      </c>
      <c r="H5" s="11" t="s">
        <v>215</v>
      </c>
      <c r="I5" s="11"/>
    </row>
    <row r="6">
      <c r="A6" s="4">
        <v>5.0</v>
      </c>
      <c r="B6" s="1" t="s">
        <v>217</v>
      </c>
      <c r="C6" s="13" t="s">
        <v>219</v>
      </c>
      <c r="D6" s="13">
        <v>8.0</v>
      </c>
      <c r="E6" s="13" t="s">
        <v>47</v>
      </c>
      <c r="F6" s="13" t="s">
        <v>221</v>
      </c>
      <c r="G6" s="13" t="s">
        <v>222</v>
      </c>
      <c r="H6" s="11" t="s">
        <v>224</v>
      </c>
      <c r="I6" s="11"/>
    </row>
    <row r="7">
      <c r="A7" s="4">
        <v>6.0</v>
      </c>
      <c r="B7" s="1" t="s">
        <v>225</v>
      </c>
      <c r="C7" s="13" t="s">
        <v>226</v>
      </c>
      <c r="D7" s="13">
        <v>7.0</v>
      </c>
      <c r="E7" s="13" t="s">
        <v>186</v>
      </c>
      <c r="F7" s="13" t="s">
        <v>228</v>
      </c>
      <c r="G7" s="13" t="s">
        <v>230</v>
      </c>
      <c r="H7" s="11" t="s">
        <v>231</v>
      </c>
      <c r="I7" s="11"/>
    </row>
    <row r="8">
      <c r="A8" s="4">
        <v>7.0</v>
      </c>
      <c r="B8" s="11" t="s">
        <v>232</v>
      </c>
      <c r="C8" s="13" t="s">
        <v>233</v>
      </c>
      <c r="D8" s="13">
        <v>7.0</v>
      </c>
      <c r="E8" s="13" t="s">
        <v>185</v>
      </c>
      <c r="F8" s="13" t="s">
        <v>235</v>
      </c>
      <c r="G8" s="13" t="s">
        <v>236</v>
      </c>
      <c r="H8" s="11" t="s">
        <v>237</v>
      </c>
      <c r="I8" s="11"/>
    </row>
    <row r="9">
      <c r="A9" s="4">
        <v>8.0</v>
      </c>
      <c r="B9" s="11" t="s">
        <v>240</v>
      </c>
      <c r="C9" s="13" t="s">
        <v>242</v>
      </c>
      <c r="D9" s="13">
        <v>7.0</v>
      </c>
      <c r="E9" s="33" t="s">
        <v>185</v>
      </c>
      <c r="F9" s="13" t="s">
        <v>245</v>
      </c>
      <c r="G9" s="13" t="s">
        <v>246</v>
      </c>
      <c r="H9" s="11" t="s">
        <v>248</v>
      </c>
      <c r="I9" s="11"/>
    </row>
    <row r="10">
      <c r="A10" s="4">
        <v>9.0</v>
      </c>
      <c r="B10" s="11" t="s">
        <v>249</v>
      </c>
      <c r="C10" s="13" t="s">
        <v>250</v>
      </c>
      <c r="D10" s="13">
        <v>7.0</v>
      </c>
      <c r="E10" s="13" t="s">
        <v>185</v>
      </c>
      <c r="F10" s="13" t="s">
        <v>80</v>
      </c>
      <c r="G10" s="13" t="s">
        <v>82</v>
      </c>
      <c r="H10" s="11" t="s">
        <v>86</v>
      </c>
      <c r="I10" s="11"/>
    </row>
    <row r="11">
      <c r="A11" s="4">
        <v>10.0</v>
      </c>
      <c r="B11" s="34" t="s">
        <v>256</v>
      </c>
      <c r="C11" s="35" t="s">
        <v>260</v>
      </c>
      <c r="D11" s="35">
        <v>7.0</v>
      </c>
      <c r="E11" s="13" t="s">
        <v>185</v>
      </c>
      <c r="F11" s="13" t="s">
        <v>264</v>
      </c>
      <c r="G11" s="13" t="s">
        <v>265</v>
      </c>
      <c r="H11" s="11" t="s">
        <v>267</v>
      </c>
      <c r="I11" s="11"/>
    </row>
    <row r="12">
      <c r="A12" s="4">
        <v>11.0</v>
      </c>
      <c r="B12" s="1" t="s">
        <v>270</v>
      </c>
      <c r="C12" s="13" t="s">
        <v>272</v>
      </c>
      <c r="D12" s="13">
        <v>7.0</v>
      </c>
      <c r="E12" s="13" t="s">
        <v>47</v>
      </c>
      <c r="F12" s="13" t="s">
        <v>275</v>
      </c>
      <c r="G12" s="13" t="s">
        <v>276</v>
      </c>
      <c r="H12" s="11" t="s">
        <v>278</v>
      </c>
      <c r="I12" s="11"/>
    </row>
    <row r="13">
      <c r="A13" s="4">
        <v>12.0</v>
      </c>
      <c r="B13" s="11" t="s">
        <v>280</v>
      </c>
      <c r="C13" s="13" t="s">
        <v>281</v>
      </c>
      <c r="D13" s="13">
        <v>7.0</v>
      </c>
      <c r="E13" s="33" t="s">
        <v>185</v>
      </c>
      <c r="F13" s="13" t="s">
        <v>283</v>
      </c>
      <c r="G13" s="13" t="s">
        <v>285</v>
      </c>
      <c r="H13" s="11" t="s">
        <v>288</v>
      </c>
      <c r="I13" s="11"/>
    </row>
    <row r="14">
      <c r="A14" s="4">
        <v>13.0</v>
      </c>
      <c r="B14" s="1" t="s">
        <v>291</v>
      </c>
      <c r="C14" s="13" t="s">
        <v>292</v>
      </c>
      <c r="D14" s="13">
        <v>8.0</v>
      </c>
      <c r="E14" s="13" t="s">
        <v>47</v>
      </c>
      <c r="F14" s="13" t="s">
        <v>294</v>
      </c>
      <c r="G14" s="13" t="s">
        <v>295</v>
      </c>
      <c r="H14" s="11" t="s">
        <v>296</v>
      </c>
      <c r="I14" s="11"/>
    </row>
    <row r="15">
      <c r="A15" s="4">
        <v>14.0</v>
      </c>
      <c r="B15" s="1" t="s">
        <v>300</v>
      </c>
      <c r="C15" s="13" t="s">
        <v>302</v>
      </c>
      <c r="D15" s="13">
        <v>8.0</v>
      </c>
      <c r="E15" s="13" t="s">
        <v>185</v>
      </c>
      <c r="F15" s="13" t="s">
        <v>303</v>
      </c>
      <c r="G15" s="13" t="s">
        <v>304</v>
      </c>
      <c r="H15" s="11" t="s">
        <v>305</v>
      </c>
      <c r="I15" s="11"/>
    </row>
    <row r="16">
      <c r="A16" s="4">
        <v>15.0</v>
      </c>
      <c r="B16" s="11" t="s">
        <v>306</v>
      </c>
      <c r="C16" s="11"/>
      <c r="D16" s="21">
        <v>8.0</v>
      </c>
      <c r="E16" s="33" t="s">
        <v>185</v>
      </c>
      <c r="F16" s="13" t="s">
        <v>307</v>
      </c>
      <c r="G16" s="13" t="s">
        <v>309</v>
      </c>
      <c r="H16" s="11"/>
      <c r="I16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4.0"/>
    <col customWidth="1" min="5" max="5" width="37.0"/>
    <col customWidth="1" min="6" max="6" width="35.38"/>
    <col customWidth="1" min="7" max="7" width="40.38"/>
    <col customWidth="1" min="8" max="8" width="49.88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4">
        <v>1.0</v>
      </c>
      <c r="B2" s="13" t="s">
        <v>262</v>
      </c>
      <c r="C2" s="16">
        <v>43678.0</v>
      </c>
      <c r="D2" s="13">
        <v>7.0</v>
      </c>
      <c r="E2" s="13" t="s">
        <v>185</v>
      </c>
      <c r="F2" s="13" t="s">
        <v>271</v>
      </c>
      <c r="G2" s="13" t="s">
        <v>273</v>
      </c>
      <c r="H2" s="13" t="s">
        <v>274</v>
      </c>
      <c r="I2" s="11"/>
    </row>
    <row r="3">
      <c r="A3" s="4">
        <v>2.0</v>
      </c>
      <c r="B3" s="13" t="s">
        <v>279</v>
      </c>
      <c r="C3" s="16">
        <v>43747.0</v>
      </c>
      <c r="D3" s="13">
        <v>6.0</v>
      </c>
      <c r="E3" s="13" t="s">
        <v>185</v>
      </c>
      <c r="F3" s="13" t="s">
        <v>282</v>
      </c>
      <c r="G3" s="13" t="s">
        <v>284</v>
      </c>
      <c r="H3" s="13" t="s">
        <v>287</v>
      </c>
      <c r="I3" s="11"/>
    </row>
    <row r="4">
      <c r="A4" s="37">
        <v>3.0</v>
      </c>
      <c r="B4" s="37" t="s">
        <v>298</v>
      </c>
      <c r="C4" s="38">
        <v>43623.0</v>
      </c>
      <c r="D4" s="37">
        <v>7.0</v>
      </c>
      <c r="E4" s="40" t="s">
        <v>192</v>
      </c>
      <c r="F4" s="37" t="s">
        <v>308</v>
      </c>
      <c r="G4" s="37" t="s">
        <v>310</v>
      </c>
      <c r="H4" s="40" t="s">
        <v>311</v>
      </c>
      <c r="I4" s="4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8.0"/>
    <col customWidth="1" min="7" max="7" width="15.38"/>
    <col customWidth="1" min="8" max="8" width="46.25"/>
    <col customWidth="1" min="9" max="9" width="22.25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4">
        <v>1.0</v>
      </c>
      <c r="B2" s="11" t="s">
        <v>314</v>
      </c>
      <c r="C2" s="16">
        <v>43956.0</v>
      </c>
      <c r="D2" s="13">
        <v>6.0</v>
      </c>
      <c r="E2" s="13" t="s">
        <v>185</v>
      </c>
      <c r="F2" s="44" t="s">
        <v>319</v>
      </c>
      <c r="G2" s="13" t="s">
        <v>324</v>
      </c>
      <c r="H2" s="11" t="s">
        <v>325</v>
      </c>
      <c r="I2" s="11"/>
    </row>
    <row r="3">
      <c r="A3" s="4">
        <v>2.0</v>
      </c>
      <c r="B3" s="11" t="s">
        <v>328</v>
      </c>
      <c r="C3" s="16">
        <v>44080.0</v>
      </c>
      <c r="D3" s="13">
        <v>5.0</v>
      </c>
      <c r="E3" s="13" t="s">
        <v>185</v>
      </c>
      <c r="F3" s="44" t="s">
        <v>212</v>
      </c>
      <c r="G3" s="52" t="s">
        <v>330</v>
      </c>
      <c r="H3" s="53" t="s">
        <v>335</v>
      </c>
      <c r="I3" s="11"/>
    </row>
    <row r="4">
      <c r="A4" s="4">
        <v>3.0</v>
      </c>
      <c r="B4" s="11" t="s">
        <v>338</v>
      </c>
      <c r="C4" s="16">
        <v>44080.0</v>
      </c>
      <c r="D4" s="13">
        <v>5.0</v>
      </c>
      <c r="E4" s="13" t="s">
        <v>185</v>
      </c>
      <c r="F4" s="44" t="s">
        <v>340</v>
      </c>
      <c r="G4" s="52" t="s">
        <v>341</v>
      </c>
      <c r="H4" s="53" t="s">
        <v>342</v>
      </c>
      <c r="I4" s="11"/>
    </row>
    <row r="5">
      <c r="A5" s="4">
        <v>4.0</v>
      </c>
      <c r="B5" s="1" t="s">
        <v>343</v>
      </c>
      <c r="C5" s="16">
        <v>43928.0</v>
      </c>
      <c r="D5" s="13">
        <v>5.0</v>
      </c>
      <c r="E5" s="13" t="s">
        <v>185</v>
      </c>
      <c r="F5" s="13" t="s">
        <v>344</v>
      </c>
      <c r="G5" s="54" t="s">
        <v>345</v>
      </c>
      <c r="H5" s="53" t="s">
        <v>346</v>
      </c>
      <c r="I5" s="11"/>
    </row>
    <row r="6">
      <c r="A6" s="4">
        <v>5.0</v>
      </c>
      <c r="B6" s="11" t="s">
        <v>347</v>
      </c>
      <c r="C6" s="16">
        <v>44019.0</v>
      </c>
      <c r="D6" s="13">
        <v>5.0</v>
      </c>
      <c r="E6" s="13" t="s">
        <v>185</v>
      </c>
      <c r="F6" s="13" t="s">
        <v>264</v>
      </c>
      <c r="G6" s="13" t="s">
        <v>265</v>
      </c>
      <c r="H6" s="11" t="s">
        <v>267</v>
      </c>
      <c r="I6" s="11"/>
    </row>
    <row r="7">
      <c r="A7" s="4">
        <v>6.0</v>
      </c>
      <c r="B7" s="11" t="s">
        <v>348</v>
      </c>
      <c r="C7" s="16">
        <v>44111.0</v>
      </c>
      <c r="D7" s="13">
        <v>5.0</v>
      </c>
      <c r="E7" s="13" t="s">
        <v>185</v>
      </c>
      <c r="F7" s="13" t="s">
        <v>349</v>
      </c>
      <c r="G7" s="13" t="s">
        <v>350</v>
      </c>
      <c r="H7" s="11" t="s">
        <v>351</v>
      </c>
      <c r="I7" s="11"/>
    </row>
    <row r="8">
      <c r="A8" s="4">
        <v>7.0</v>
      </c>
      <c r="B8" s="11" t="s">
        <v>352</v>
      </c>
      <c r="C8" s="13" t="s">
        <v>353</v>
      </c>
      <c r="D8" s="13">
        <v>5.0</v>
      </c>
      <c r="E8" s="13" t="s">
        <v>185</v>
      </c>
      <c r="F8" s="13" t="s">
        <v>354</v>
      </c>
      <c r="G8" s="13" t="s">
        <v>355</v>
      </c>
      <c r="H8" s="11" t="s">
        <v>356</v>
      </c>
      <c r="I8" s="11"/>
    </row>
    <row r="9">
      <c r="A9" s="4">
        <v>8.0</v>
      </c>
      <c r="B9" s="11" t="s">
        <v>357</v>
      </c>
      <c r="C9" s="13" t="s">
        <v>358</v>
      </c>
      <c r="D9" s="13">
        <v>5.0</v>
      </c>
      <c r="E9" s="13" t="s">
        <v>185</v>
      </c>
      <c r="F9" s="13" t="s">
        <v>359</v>
      </c>
      <c r="G9" s="13" t="s">
        <v>360</v>
      </c>
      <c r="H9" s="11" t="s">
        <v>361</v>
      </c>
      <c r="I9" s="11"/>
    </row>
    <row r="10">
      <c r="A10" s="4">
        <v>9.0</v>
      </c>
      <c r="B10" s="11" t="s">
        <v>362</v>
      </c>
      <c r="C10" s="13" t="s">
        <v>363</v>
      </c>
      <c r="D10" s="13">
        <v>5.0</v>
      </c>
      <c r="E10" s="13" t="s">
        <v>185</v>
      </c>
      <c r="F10" s="13" t="s">
        <v>364</v>
      </c>
      <c r="G10" s="13" t="s">
        <v>365</v>
      </c>
      <c r="H10" s="11" t="s">
        <v>366</v>
      </c>
      <c r="I10" s="11"/>
    </row>
    <row r="11">
      <c r="A11" s="4">
        <v>10.0</v>
      </c>
      <c r="B11" s="11" t="s">
        <v>367</v>
      </c>
      <c r="C11" s="16">
        <v>43931.0</v>
      </c>
      <c r="D11" s="13">
        <v>5.0</v>
      </c>
      <c r="E11" s="13" t="s">
        <v>185</v>
      </c>
      <c r="F11" s="13" t="s">
        <v>368</v>
      </c>
      <c r="G11" s="13" t="s">
        <v>369</v>
      </c>
      <c r="H11" s="11" t="s">
        <v>370</v>
      </c>
      <c r="I11" s="11"/>
    </row>
    <row r="12">
      <c r="A12" s="4">
        <v>11.0</v>
      </c>
      <c r="B12" s="11" t="s">
        <v>371</v>
      </c>
      <c r="C12" s="13" t="s">
        <v>372</v>
      </c>
      <c r="D12" s="13">
        <v>5.0</v>
      </c>
      <c r="E12" s="13" t="s">
        <v>185</v>
      </c>
      <c r="F12" s="13" t="s">
        <v>373</v>
      </c>
      <c r="G12" s="13" t="s">
        <v>374</v>
      </c>
      <c r="H12" s="11" t="s">
        <v>375</v>
      </c>
      <c r="I12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5" max="5" width="27.5"/>
    <col customWidth="1" min="6" max="6" width="23.75"/>
    <col customWidth="1" min="7" max="7" width="15.38"/>
    <col customWidth="1" min="8" max="8" width="42.88"/>
    <col customWidth="1" min="9" max="9" width="22.25"/>
  </cols>
  <sheetData>
    <row r="1">
      <c r="A1" s="1"/>
      <c r="B1" s="9" t="s">
        <v>14</v>
      </c>
      <c r="C1" s="9" t="s">
        <v>21</v>
      </c>
      <c r="D1" s="9" t="s">
        <v>23</v>
      </c>
      <c r="E1" s="9" t="s">
        <v>25</v>
      </c>
      <c r="F1" s="9" t="s">
        <v>26</v>
      </c>
      <c r="G1" s="9" t="s">
        <v>28</v>
      </c>
      <c r="H1" s="9" t="s">
        <v>30</v>
      </c>
      <c r="I1" s="9" t="s">
        <v>32</v>
      </c>
    </row>
    <row r="2">
      <c r="A2" s="42">
        <v>1.0</v>
      </c>
      <c r="B2" s="43" t="s">
        <v>317</v>
      </c>
      <c r="C2" s="45" t="s">
        <v>321</v>
      </c>
      <c r="D2" s="45">
        <v>5.0</v>
      </c>
      <c r="E2" s="45" t="s">
        <v>185</v>
      </c>
      <c r="F2" s="45" t="s">
        <v>327</v>
      </c>
      <c r="G2" s="47" t="s">
        <v>329</v>
      </c>
      <c r="H2" s="49" t="s">
        <v>331</v>
      </c>
      <c r="I2" s="50"/>
    </row>
    <row r="3">
      <c r="A3" s="51">
        <v>2.0</v>
      </c>
      <c r="B3" s="43" t="s">
        <v>333</v>
      </c>
      <c r="C3" s="43"/>
      <c r="D3" s="45">
        <v>4.0</v>
      </c>
      <c r="E3" s="45" t="s">
        <v>185</v>
      </c>
      <c r="F3" s="45" t="s">
        <v>271</v>
      </c>
      <c r="G3" s="45" t="s">
        <v>273</v>
      </c>
      <c r="H3" s="43" t="s">
        <v>274</v>
      </c>
      <c r="I3" s="43"/>
    </row>
    <row r="4">
      <c r="A4" s="37">
        <v>3.0</v>
      </c>
      <c r="B4" s="41" t="s">
        <v>334</v>
      </c>
      <c r="C4" s="37" t="s">
        <v>336</v>
      </c>
      <c r="D4" s="37">
        <v>5.0</v>
      </c>
      <c r="E4" s="41" t="s">
        <v>337</v>
      </c>
      <c r="F4" s="41" t="s">
        <v>308</v>
      </c>
      <c r="G4" s="41" t="s">
        <v>310</v>
      </c>
      <c r="H4" s="41" t="s">
        <v>339</v>
      </c>
      <c r="I4" s="4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</cols>
  <sheetData>
    <row r="1">
      <c r="A1" s="8" t="s">
        <v>312</v>
      </c>
      <c r="B1" s="8" t="s">
        <v>313</v>
      </c>
    </row>
    <row r="2">
      <c r="A2" s="18" t="s">
        <v>315</v>
      </c>
      <c r="B2" s="18">
        <v>15.0</v>
      </c>
    </row>
    <row r="3">
      <c r="A3" s="18" t="s">
        <v>316</v>
      </c>
      <c r="B3" s="18">
        <v>14.0</v>
      </c>
    </row>
    <row r="4">
      <c r="A4" s="18" t="s">
        <v>318</v>
      </c>
      <c r="B4" s="18">
        <v>9.0</v>
      </c>
    </row>
    <row r="5">
      <c r="A5" s="18" t="s">
        <v>320</v>
      </c>
      <c r="B5" s="18">
        <v>4.0</v>
      </c>
    </row>
    <row r="6">
      <c r="A6" s="18" t="s">
        <v>322</v>
      </c>
      <c r="B6" s="18">
        <v>2.0</v>
      </c>
    </row>
    <row r="7">
      <c r="A7" s="46" t="s">
        <v>326</v>
      </c>
      <c r="B7" s="24">
        <f>SUM(B2:B6)</f>
        <v>44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3.25"/>
  </cols>
  <sheetData>
    <row r="1">
      <c r="A1" s="8" t="s">
        <v>323</v>
      </c>
      <c r="B1" s="8" t="s">
        <v>154</v>
      </c>
    </row>
    <row r="2">
      <c r="A2" s="48">
        <v>2023.0</v>
      </c>
      <c r="B2" s="48">
        <v>6.0</v>
      </c>
    </row>
    <row r="3">
      <c r="A3" s="18">
        <v>2024.0</v>
      </c>
      <c r="B3" s="18">
        <v>18.0</v>
      </c>
    </row>
    <row r="4">
      <c r="A4" s="18">
        <v>2025.0</v>
      </c>
      <c r="B4" s="18">
        <v>31.0</v>
      </c>
    </row>
    <row r="5">
      <c r="A5" s="18">
        <v>2026.0</v>
      </c>
      <c r="B5" s="18">
        <v>71.0</v>
      </c>
    </row>
    <row r="6">
      <c r="A6" s="18">
        <v>2027.0</v>
      </c>
      <c r="B6" s="18" t="s">
        <v>332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13"/>
  </cols>
  <sheetData>
    <row r="1">
      <c r="A1" s="8" t="s">
        <v>376</v>
      </c>
      <c r="B1" s="8" t="s">
        <v>378</v>
      </c>
    </row>
    <row r="2">
      <c r="A2" s="12" t="s">
        <v>38</v>
      </c>
      <c r="B2" s="18">
        <v>30.0</v>
      </c>
    </row>
    <row r="3">
      <c r="A3" s="12" t="s">
        <v>54</v>
      </c>
      <c r="B3" s="18">
        <v>11.0</v>
      </c>
    </row>
    <row r="4">
      <c r="A4" s="12" t="s">
        <v>66</v>
      </c>
      <c r="B4" s="18">
        <v>14.0</v>
      </c>
    </row>
    <row r="5">
      <c r="A5" s="12" t="s">
        <v>84</v>
      </c>
      <c r="B5" s="18">
        <v>7.0</v>
      </c>
    </row>
    <row r="6">
      <c r="A6" s="12" t="s">
        <v>90</v>
      </c>
      <c r="B6" s="18">
        <v>7.0</v>
      </c>
    </row>
    <row r="7">
      <c r="A7" s="12" t="s">
        <v>140</v>
      </c>
      <c r="B7" s="18">
        <v>3.0</v>
      </c>
    </row>
    <row r="8">
      <c r="A8" s="24" t="s">
        <v>154</v>
      </c>
      <c r="B8" s="25">
        <f>SUM(B2:B7)</f>
        <v>72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25"/>
  </cols>
  <sheetData>
    <row r="1">
      <c r="A1" s="27" t="s">
        <v>377</v>
      </c>
      <c r="B1" s="8" t="s">
        <v>378</v>
      </c>
    </row>
    <row r="2">
      <c r="A2" s="12" t="s">
        <v>185</v>
      </c>
      <c r="B2" s="18">
        <v>34.0</v>
      </c>
    </row>
    <row r="3">
      <c r="A3" s="12" t="s">
        <v>186</v>
      </c>
      <c r="B3" s="18">
        <v>3.0</v>
      </c>
    </row>
    <row r="4">
      <c r="A4" s="12" t="s">
        <v>187</v>
      </c>
      <c r="B4" s="18">
        <v>3.0</v>
      </c>
    </row>
    <row r="5">
      <c r="A5" s="12" t="s">
        <v>188</v>
      </c>
      <c r="B5" s="18">
        <v>9.0</v>
      </c>
    </row>
    <row r="6">
      <c r="A6" s="12" t="s">
        <v>191</v>
      </c>
      <c r="B6" s="18">
        <v>3.0</v>
      </c>
    </row>
    <row r="7">
      <c r="A7" s="12" t="s">
        <v>193</v>
      </c>
      <c r="B7" s="12">
        <v>0.0</v>
      </c>
    </row>
    <row r="8">
      <c r="A8" s="12" t="s">
        <v>40</v>
      </c>
      <c r="B8" s="18">
        <v>19.0</v>
      </c>
    </row>
    <row r="9">
      <c r="A9" s="18" t="s">
        <v>190</v>
      </c>
      <c r="B9" s="18">
        <v>1.0</v>
      </c>
    </row>
    <row r="10">
      <c r="A10" s="31" t="s">
        <v>154</v>
      </c>
      <c r="B10" s="12">
        <f>SUM(B2:B9)</f>
        <v>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3" width="49.63"/>
    <col customWidth="1" min="4" max="4" width="24.88"/>
    <col customWidth="1" min="5" max="5" width="28.0"/>
    <col customWidth="1" min="6" max="6" width="27.38"/>
  </cols>
  <sheetData>
    <row r="1">
      <c r="A1" s="8" t="s">
        <v>379</v>
      </c>
      <c r="B1" s="8" t="s">
        <v>380</v>
      </c>
      <c r="C1" s="8" t="s">
        <v>381</v>
      </c>
      <c r="D1" s="8" t="s">
        <v>382</v>
      </c>
      <c r="E1" s="8" t="s">
        <v>383</v>
      </c>
      <c r="F1" s="8" t="s">
        <v>384</v>
      </c>
    </row>
    <row r="2">
      <c r="A2" s="18" t="s">
        <v>385</v>
      </c>
      <c r="B2" s="18">
        <v>2.0</v>
      </c>
      <c r="C2" s="18" t="s">
        <v>3</v>
      </c>
      <c r="D2" s="18" t="s">
        <v>4</v>
      </c>
      <c r="E2" s="18" t="s">
        <v>332</v>
      </c>
      <c r="F2" s="18" t="s">
        <v>332</v>
      </c>
    </row>
    <row r="3">
      <c r="A3" s="18" t="s">
        <v>387</v>
      </c>
      <c r="B3" s="18">
        <v>4.0</v>
      </c>
      <c r="C3" s="18" t="s">
        <v>389</v>
      </c>
      <c r="D3" s="18" t="s">
        <v>391</v>
      </c>
      <c r="E3" s="18" t="s">
        <v>392</v>
      </c>
      <c r="F3" s="18" t="s">
        <v>393</v>
      </c>
    </row>
    <row r="4">
      <c r="A4" s="18" t="s">
        <v>394</v>
      </c>
      <c r="B4" s="18">
        <v>2.0</v>
      </c>
      <c r="C4" s="18" t="s">
        <v>3</v>
      </c>
      <c r="D4" s="18" t="s">
        <v>4</v>
      </c>
      <c r="E4" s="12"/>
      <c r="F4" s="12"/>
    </row>
    <row r="5">
      <c r="A5" s="18" t="s">
        <v>400</v>
      </c>
      <c r="B5" s="18">
        <v>4.0</v>
      </c>
      <c r="C5" s="18" t="s">
        <v>389</v>
      </c>
      <c r="D5" s="18" t="s">
        <v>391</v>
      </c>
      <c r="E5" s="18" t="s">
        <v>392</v>
      </c>
      <c r="F5" s="18" t="s">
        <v>393</v>
      </c>
    </row>
    <row r="6">
      <c r="A6" s="18" t="s">
        <v>404</v>
      </c>
      <c r="B6" s="18">
        <v>2.0</v>
      </c>
      <c r="C6" s="18" t="s">
        <v>3</v>
      </c>
      <c r="D6" s="18" t="s">
        <v>4</v>
      </c>
      <c r="E6" s="12"/>
      <c r="F6" s="12"/>
    </row>
    <row r="7">
      <c r="A7" s="18" t="s">
        <v>407</v>
      </c>
      <c r="B7" s="18">
        <v>2.0</v>
      </c>
      <c r="C7" s="18" t="s">
        <v>1</v>
      </c>
      <c r="D7" s="18" t="s">
        <v>2</v>
      </c>
      <c r="E7" s="12"/>
      <c r="F7" s="12"/>
    </row>
    <row r="8">
      <c r="A8" s="46" t="s">
        <v>332</v>
      </c>
      <c r="B8" s="24"/>
      <c r="C8" s="24"/>
      <c r="D8" s="24"/>
      <c r="E8" s="24"/>
      <c r="F8" s="2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3" width="61.13"/>
  </cols>
  <sheetData>
    <row r="1">
      <c r="A1" s="8" t="s">
        <v>386</v>
      </c>
      <c r="B1" s="8" t="s">
        <v>388</v>
      </c>
      <c r="C1" s="8" t="s">
        <v>390</v>
      </c>
    </row>
    <row r="2">
      <c r="A2" s="18" t="s">
        <v>395</v>
      </c>
      <c r="B2" s="18" t="s">
        <v>396</v>
      </c>
      <c r="C2" s="18" t="s">
        <v>397</v>
      </c>
    </row>
    <row r="3">
      <c r="A3" s="18" t="s">
        <v>398</v>
      </c>
      <c r="B3" s="18" t="s">
        <v>396</v>
      </c>
      <c r="C3" s="18" t="s">
        <v>399</v>
      </c>
    </row>
    <row r="4">
      <c r="A4" s="18" t="s">
        <v>401</v>
      </c>
      <c r="B4" s="18" t="s">
        <v>402</v>
      </c>
      <c r="C4" s="18" t="s">
        <v>402</v>
      </c>
    </row>
    <row r="5">
      <c r="A5" s="18" t="s">
        <v>403</v>
      </c>
      <c r="B5" s="18" t="s">
        <v>402</v>
      </c>
      <c r="C5" s="18" t="s">
        <v>402</v>
      </c>
    </row>
    <row r="6">
      <c r="A6" s="18" t="s">
        <v>405</v>
      </c>
      <c r="B6" s="18" t="s">
        <v>402</v>
      </c>
      <c r="C6" s="18" t="s">
        <v>402</v>
      </c>
    </row>
    <row r="7">
      <c r="A7" s="18" t="s">
        <v>406</v>
      </c>
      <c r="B7" s="18" t="s">
        <v>402</v>
      </c>
      <c r="C7" s="18" t="s">
        <v>402</v>
      </c>
    </row>
    <row r="8">
      <c r="A8" s="46" t="s">
        <v>408</v>
      </c>
      <c r="B8" s="18" t="s">
        <v>402</v>
      </c>
      <c r="C8" s="18" t="s">
        <v>402</v>
      </c>
    </row>
    <row r="9">
      <c r="A9" s="46" t="s">
        <v>409</v>
      </c>
      <c r="B9" s="18" t="s">
        <v>402</v>
      </c>
      <c r="C9" s="18" t="s">
        <v>402</v>
      </c>
    </row>
    <row r="10">
      <c r="A10" s="46" t="s">
        <v>410</v>
      </c>
      <c r="B10" s="18" t="s">
        <v>402</v>
      </c>
      <c r="C10" s="18" t="s">
        <v>402</v>
      </c>
    </row>
    <row r="11">
      <c r="A11" s="46" t="s">
        <v>411</v>
      </c>
      <c r="B11" s="18" t="s">
        <v>402</v>
      </c>
      <c r="C11" s="18" t="s">
        <v>402</v>
      </c>
    </row>
    <row r="12">
      <c r="A12" s="46" t="s">
        <v>412</v>
      </c>
      <c r="B12" s="18" t="s">
        <v>402</v>
      </c>
      <c r="C12" s="18" t="s">
        <v>402</v>
      </c>
    </row>
    <row r="13">
      <c r="A13" s="46" t="s">
        <v>413</v>
      </c>
      <c r="B13" s="18" t="s">
        <v>402</v>
      </c>
      <c r="C13" s="18" t="s">
        <v>402</v>
      </c>
    </row>
    <row r="14">
      <c r="A14" s="46" t="s">
        <v>414</v>
      </c>
      <c r="B14" s="18" t="s">
        <v>402</v>
      </c>
      <c r="C14" s="18" t="s">
        <v>402</v>
      </c>
    </row>
    <row r="15">
      <c r="A15" s="55" t="s">
        <v>415</v>
      </c>
      <c r="B15" s="18" t="s">
        <v>402</v>
      </c>
      <c r="C15" s="18" t="s">
        <v>402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61.13"/>
  </cols>
  <sheetData>
    <row r="1">
      <c r="A1" s="28" t="s">
        <v>416</v>
      </c>
      <c r="B1" s="8" t="s">
        <v>388</v>
      </c>
      <c r="C1" s="8" t="s">
        <v>417</v>
      </c>
    </row>
    <row r="2">
      <c r="A2" s="18" t="s">
        <v>395</v>
      </c>
      <c r="B2" s="18" t="s">
        <v>396</v>
      </c>
      <c r="C2" s="18" t="s">
        <v>397</v>
      </c>
    </row>
    <row r="3">
      <c r="A3" s="18" t="s">
        <v>401</v>
      </c>
      <c r="B3" s="18" t="s">
        <v>402</v>
      </c>
      <c r="C3" s="18" t="s">
        <v>402</v>
      </c>
    </row>
    <row r="4">
      <c r="A4" s="18" t="s">
        <v>418</v>
      </c>
      <c r="B4" s="18" t="s">
        <v>396</v>
      </c>
      <c r="C4" s="18" t="s">
        <v>397</v>
      </c>
    </row>
    <row r="5">
      <c r="A5" s="18" t="s">
        <v>420</v>
      </c>
      <c r="B5" s="18" t="s">
        <v>402</v>
      </c>
      <c r="C5" s="18" t="s">
        <v>402</v>
      </c>
    </row>
    <row r="6">
      <c r="A6" s="18" t="s">
        <v>422</v>
      </c>
      <c r="B6" s="18" t="s">
        <v>402</v>
      </c>
      <c r="C6" s="18" t="s">
        <v>402</v>
      </c>
    </row>
    <row r="7">
      <c r="A7" s="18" t="s">
        <v>410</v>
      </c>
      <c r="B7" s="18" t="s">
        <v>402</v>
      </c>
      <c r="C7" s="18" t="s">
        <v>402</v>
      </c>
    </row>
    <row r="8">
      <c r="A8" s="18" t="s">
        <v>424</v>
      </c>
      <c r="B8" s="18" t="s">
        <v>402</v>
      </c>
      <c r="C8" s="18" t="s">
        <v>402</v>
      </c>
    </row>
    <row r="9">
      <c r="A9" s="18" t="s">
        <v>406</v>
      </c>
      <c r="B9" s="18" t="s">
        <v>402</v>
      </c>
      <c r="C9" s="18" t="s">
        <v>402</v>
      </c>
    </row>
    <row r="10">
      <c r="A10" s="18" t="s">
        <v>411</v>
      </c>
      <c r="B10" s="18" t="s">
        <v>402</v>
      </c>
      <c r="C10" s="18" t="s">
        <v>402</v>
      </c>
    </row>
    <row r="11">
      <c r="A11" s="18" t="s">
        <v>429</v>
      </c>
      <c r="B11" s="18" t="s">
        <v>402</v>
      </c>
      <c r="C11" s="18" t="s">
        <v>402</v>
      </c>
    </row>
    <row r="12">
      <c r="A12" s="18" t="s">
        <v>431</v>
      </c>
      <c r="B12" s="18" t="s">
        <v>402</v>
      </c>
      <c r="C12" s="18" t="s">
        <v>402</v>
      </c>
    </row>
    <row r="13">
      <c r="A13" s="18" t="s">
        <v>432</v>
      </c>
      <c r="B13" s="18" t="s">
        <v>402</v>
      </c>
      <c r="C13" s="18" t="s">
        <v>402</v>
      </c>
    </row>
    <row r="14">
      <c r="A14" s="18" t="s">
        <v>433</v>
      </c>
      <c r="B14" s="18" t="s">
        <v>402</v>
      </c>
      <c r="C14" s="18" t="s">
        <v>402</v>
      </c>
    </row>
    <row r="15">
      <c r="A15" s="55" t="s">
        <v>415</v>
      </c>
      <c r="B15" s="18" t="s">
        <v>434</v>
      </c>
      <c r="C15" s="18" t="s">
        <v>402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4" max="4" width="29.38"/>
  </cols>
  <sheetData>
    <row r="1">
      <c r="A1" s="28" t="s">
        <v>416</v>
      </c>
      <c r="B1" s="28" t="s">
        <v>419</v>
      </c>
      <c r="D1" s="56" t="s">
        <v>421</v>
      </c>
      <c r="E1" s="56" t="s">
        <v>423</v>
      </c>
    </row>
    <row r="2">
      <c r="A2" s="18" t="s">
        <v>395</v>
      </c>
      <c r="B2" s="18" t="s">
        <v>425</v>
      </c>
      <c r="D2" s="57" t="s">
        <v>426</v>
      </c>
      <c r="E2" s="57">
        <v>2.0</v>
      </c>
    </row>
    <row r="3">
      <c r="A3" s="18" t="s">
        <v>401</v>
      </c>
      <c r="B3" s="18"/>
      <c r="D3" s="57" t="s">
        <v>427</v>
      </c>
      <c r="E3" s="57">
        <v>1.0</v>
      </c>
    </row>
    <row r="4">
      <c r="A4" s="18" t="s">
        <v>418</v>
      </c>
      <c r="B4" s="18"/>
      <c r="D4" s="57" t="s">
        <v>428</v>
      </c>
      <c r="E4" s="57">
        <v>0.0</v>
      </c>
    </row>
    <row r="5">
      <c r="A5" s="18" t="s">
        <v>420</v>
      </c>
      <c r="B5" s="18"/>
      <c r="D5" s="57" t="s">
        <v>430</v>
      </c>
      <c r="E5" s="57">
        <v>0.0</v>
      </c>
    </row>
    <row r="6">
      <c r="A6" s="18" t="s">
        <v>422</v>
      </c>
      <c r="B6" s="18"/>
    </row>
    <row r="7">
      <c r="A7" s="18" t="s">
        <v>410</v>
      </c>
      <c r="B7" s="18"/>
    </row>
    <row r="8">
      <c r="A8" s="18" t="s">
        <v>424</v>
      </c>
      <c r="B8" s="18"/>
    </row>
    <row r="9">
      <c r="A9" s="18" t="s">
        <v>406</v>
      </c>
      <c r="B9" s="18"/>
    </row>
    <row r="10">
      <c r="A10" s="18" t="s">
        <v>411</v>
      </c>
      <c r="B10" s="18"/>
    </row>
    <row r="11">
      <c r="A11" s="18" t="s">
        <v>429</v>
      </c>
      <c r="B11" s="18"/>
    </row>
    <row r="12">
      <c r="A12" s="18" t="s">
        <v>431</v>
      </c>
      <c r="B12" s="18"/>
    </row>
    <row r="13">
      <c r="A13" s="18" t="s">
        <v>432</v>
      </c>
      <c r="B13" s="18"/>
    </row>
    <row r="14">
      <c r="A14" s="18" t="s">
        <v>433</v>
      </c>
      <c r="B14" s="18"/>
    </row>
    <row r="15">
      <c r="A15" s="18" t="s">
        <v>415</v>
      </c>
      <c r="B15" s="18" t="s">
        <v>426</v>
      </c>
    </row>
    <row r="16">
      <c r="A16" s="18" t="s">
        <v>435</v>
      </c>
      <c r="B16" s="18" t="s">
        <v>426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4.25"/>
    <col customWidth="1" min="3" max="3" width="35.5"/>
    <col customWidth="1" min="4" max="4" width="26.25"/>
  </cols>
  <sheetData>
    <row r="1">
      <c r="A1" s="58" t="s">
        <v>436</v>
      </c>
      <c r="B1" s="58" t="s">
        <v>437</v>
      </c>
      <c r="C1" s="58" t="s">
        <v>438</v>
      </c>
      <c r="D1" s="58" t="s">
        <v>439</v>
      </c>
    </row>
    <row r="2">
      <c r="A2" s="59" t="s">
        <v>440</v>
      </c>
      <c r="B2" s="59" t="s">
        <v>441</v>
      </c>
      <c r="C2" s="60">
        <v>46295.0</v>
      </c>
      <c r="D2" s="61">
        <v>0.7916666666666666</v>
      </c>
    </row>
    <row r="3">
      <c r="A3" s="59" t="s">
        <v>442</v>
      </c>
      <c r="B3" s="59" t="s">
        <v>443</v>
      </c>
      <c r="C3" s="60">
        <v>46297.0</v>
      </c>
      <c r="D3" s="61">
        <v>0.75</v>
      </c>
    </row>
    <row r="4">
      <c r="A4" s="59" t="s">
        <v>444</v>
      </c>
      <c r="B4" s="59" t="s">
        <v>441</v>
      </c>
      <c r="C4" s="60">
        <v>46298.0</v>
      </c>
      <c r="D4" s="61">
        <v>0.4375</v>
      </c>
    </row>
    <row r="5">
      <c r="A5" s="59" t="s">
        <v>445</v>
      </c>
      <c r="B5" s="59" t="s">
        <v>446</v>
      </c>
      <c r="C5" s="60">
        <v>46298.0</v>
      </c>
      <c r="D5" s="61">
        <v>0.4583333333333333</v>
      </c>
    </row>
    <row r="6">
      <c r="A6" s="59" t="s">
        <v>447</v>
      </c>
      <c r="B6" s="59" t="s">
        <v>448</v>
      </c>
      <c r="C6" s="60">
        <v>46304.0</v>
      </c>
      <c r="D6" s="61">
        <v>0.78125</v>
      </c>
    </row>
    <row r="7">
      <c r="A7" s="59" t="s">
        <v>449</v>
      </c>
      <c r="B7" s="59" t="s">
        <v>450</v>
      </c>
      <c r="C7" s="60">
        <v>46306.0</v>
      </c>
      <c r="D7" s="61">
        <v>0.5</v>
      </c>
    </row>
  </sheetData>
  <drawing r:id="rId1"/>
</worksheet>
</file>